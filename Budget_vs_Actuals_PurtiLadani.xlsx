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urti\Downloads\"/>
    </mc:Choice>
  </mc:AlternateContent>
  <xr:revisionPtr revIDLastSave="0" documentId="13_ncr:1_{22A8022F-F0CF-4057-979C-901F6318AC69}" xr6:coauthVersionLast="47" xr6:coauthVersionMax="47" xr10:uidLastSave="{00000000-0000-0000-0000-000000000000}"/>
  <bookViews>
    <workbookView xWindow="-108" yWindow="-108" windowWidth="23256" windowHeight="12456" activeTab="3" xr2:uid="{00000000-000D-0000-FFFF-FFFF00000000}"/>
  </bookViews>
  <sheets>
    <sheet name="Budget Plan" sheetId="1" r:id="rId1"/>
    <sheet name="Raw Data" sheetId="2" r:id="rId2"/>
    <sheet name="Analysis" sheetId="3" r:id="rId3"/>
    <sheet name="Dashboard" sheetId="4" r:id="rId4"/>
  </sheets>
  <definedNames>
    <definedName name="Slicer_Department">#N/A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B12" i="4"/>
  <c r="B6" i="4"/>
  <c r="B4" i="4"/>
  <c r="Q9" i="3"/>
  <c r="P9" i="3"/>
  <c r="O9" i="3"/>
  <c r="N9" i="3"/>
  <c r="M9" i="3"/>
  <c r="L9" i="3"/>
  <c r="K9" i="3"/>
  <c r="J9" i="3"/>
  <c r="I9" i="3"/>
  <c r="H9" i="3"/>
  <c r="G9" i="3"/>
  <c r="F9" i="3"/>
  <c r="E9" i="3"/>
  <c r="D9" i="3"/>
  <c r="C9" i="3"/>
  <c r="B9" i="3"/>
  <c r="N7" i="1"/>
  <c r="N6" i="1"/>
  <c r="N5" i="1"/>
  <c r="N4" i="1"/>
  <c r="N3" i="1"/>
  <c r="N2" i="1"/>
  <c r="B10" i="4" l="1"/>
  <c r="B8" i="4"/>
</calcChain>
</file>

<file path=xl/sharedStrings.xml><?xml version="1.0" encoding="utf-8"?>
<sst xmlns="http://schemas.openxmlformats.org/spreadsheetml/2006/main" count="396" uniqueCount="70">
  <si>
    <t>Department</t>
  </si>
  <si>
    <t>Jan</t>
  </si>
  <si>
    <t>Feb</t>
  </si>
  <si>
    <t>Mar</t>
  </si>
  <si>
    <t>Apr</t>
  </si>
  <si>
    <t>May</t>
  </si>
  <si>
    <t>Jun</t>
  </si>
  <si>
    <t>Jul</t>
  </si>
  <si>
    <t>Aug</t>
  </si>
  <si>
    <t>Sep</t>
  </si>
  <si>
    <t>Oct</t>
  </si>
  <si>
    <t>Nov</t>
  </si>
  <si>
    <t>Dec</t>
  </si>
  <si>
    <t>Annual Budget</t>
  </si>
  <si>
    <t>Marketing</t>
  </si>
  <si>
    <t>HR</t>
  </si>
  <si>
    <t>IT</t>
  </si>
  <si>
    <t>Operations</t>
  </si>
  <si>
    <t>Finance</t>
  </si>
  <si>
    <t>Sales</t>
  </si>
  <si>
    <t>Month</t>
  </si>
  <si>
    <t>Category</t>
  </si>
  <si>
    <t>Actual Spend</t>
  </si>
  <si>
    <t>Notes</t>
  </si>
  <si>
    <t>Digital Ads</t>
  </si>
  <si>
    <t>Pending review</t>
  </si>
  <si>
    <t>Training</t>
  </si>
  <si>
    <t>Cost saving initiative</t>
  </si>
  <si>
    <t>Hardware</t>
  </si>
  <si>
    <t>Within limits</t>
  </si>
  <si>
    <t>Utilities</t>
  </si>
  <si>
    <t>Audit</t>
  </si>
  <si>
    <t>Commissions</t>
  </si>
  <si>
    <t>On track</t>
  </si>
  <si>
    <t>Benefits</t>
  </si>
  <si>
    <t>Support</t>
  </si>
  <si>
    <t>Tools</t>
  </si>
  <si>
    <t>PR</t>
  </si>
  <si>
    <t>Approved variance</t>
  </si>
  <si>
    <t>Slight overrun</t>
  </si>
  <si>
    <t>Consulting</t>
  </si>
  <si>
    <t>Travel</t>
  </si>
  <si>
    <t>Payroll</t>
  </si>
  <si>
    <t>Seasonal spike</t>
  </si>
  <si>
    <t>Facilities</t>
  </si>
  <si>
    <t>Software</t>
  </si>
  <si>
    <t>Events</t>
  </si>
  <si>
    <t>Cloud</t>
  </si>
  <si>
    <t>Under budget</t>
  </si>
  <si>
    <t>Logistics</t>
  </si>
  <si>
    <t>Content</t>
  </si>
  <si>
    <t>Equipment</t>
  </si>
  <si>
    <t>Compliance</t>
  </si>
  <si>
    <t>Recruitment</t>
  </si>
  <si>
    <t>BUDGET VS ACTUALS ANALYSIS — 2024</t>
  </si>
  <si>
    <t>Total Budget</t>
  </si>
  <si>
    <t>Total Actual</t>
  </si>
  <si>
    <t>Total Variance</t>
  </si>
  <si>
    <t>% Achieved</t>
  </si>
  <si>
    <t>Grand Total</t>
  </si>
  <si>
    <t>📊 BUDGET VS ACTUALS DASHBOARD — 2024</t>
  </si>
  <si>
    <t>Prepared by: Purti Ladani</t>
  </si>
  <si>
    <t>Total Annual Budget</t>
  </si>
  <si>
    <t>Total Actual Spend</t>
  </si>
  <si>
    <t>Overall % Achieved</t>
  </si>
  <si>
    <t>Depts Over Budget</t>
  </si>
  <si>
    <t>Depts Under Budget</t>
  </si>
  <si>
    <t>💡 Next Steps: Insert PivotCharts from Analysis sheet into this dashboard!</t>
  </si>
  <si>
    <t>Row Labels</t>
  </si>
  <si>
    <t>Sum of Actual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</si>
</sst>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quot;$&quot;#,##0.00"/>
  </numFmts>
  <fonts count="10" x14ac:knownFonts="1">
    <font>
      <sz val="11"/>
      <color theme="1"/>
      <name val="Calibri"/>
      <family val="2"/>
      <scheme val="minor"/>
    </font>
    <font>
      <b/>
      <sz val="11"/>
      <color rgb="FFFFFFFF"/>
      <name val="Arial"/>
    </font>
    <font>
      <sz val="10"/>
      <name val="Arial"/>
    </font>
    <font>
      <b/>
      <sz val="14"/>
      <color rgb="FF1F4E79"/>
      <name val="Arial"/>
    </font>
    <font>
      <b/>
      <sz val="11"/>
      <name val="Arial"/>
    </font>
    <font>
      <b/>
      <sz val="10"/>
      <name val="Arial"/>
    </font>
    <font>
      <i/>
      <sz val="10"/>
      <color rgb="FF7F7F7F"/>
      <name val="Arial"/>
    </font>
    <font>
      <b/>
      <sz val="11"/>
      <color rgb="FF1F4E79"/>
      <name val="Arial"/>
    </font>
    <font>
      <sz val="11"/>
      <name val="Arial"/>
    </font>
    <font>
      <b/>
      <sz val="18"/>
      <color theme="3"/>
      <name val="Arial"/>
      <family val="2"/>
    </font>
  </fonts>
  <fills count="7">
    <fill>
      <patternFill patternType="none"/>
    </fill>
    <fill>
      <patternFill patternType="gray125"/>
    </fill>
    <fill>
      <patternFill patternType="solid">
        <fgColor rgb="FF1F4E79"/>
      </patternFill>
    </fill>
    <fill>
      <patternFill patternType="solid">
        <fgColor rgb="FFEBF3FB"/>
      </patternFill>
    </fill>
    <fill>
      <patternFill patternType="solid">
        <fgColor rgb="FF375623"/>
      </patternFill>
    </fill>
    <fill>
      <patternFill patternType="solid">
        <fgColor rgb="FFD6E4F0"/>
      </patternFill>
    </fill>
    <fill>
      <patternFill patternType="solid">
        <fgColor rgb="FFDEEAF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1" fillId="4" borderId="1" xfId="0" applyFont="1" applyFill="1" applyBorder="1" applyAlignment="1">
      <alignment horizontal="center" vertical="center"/>
    </xf>
    <xf numFmtId="165" fontId="2" fillId="0" borderId="1" xfId="0" applyNumberFormat="1" applyFont="1" applyBorder="1" applyAlignment="1">
      <alignment horizontal="center" vertical="center"/>
    </xf>
    <xf numFmtId="165" fontId="2" fillId="3" borderId="1" xfId="0" applyNumberFormat="1" applyFont="1" applyFill="1" applyBorder="1" applyAlignment="1">
      <alignment horizontal="center" vertical="center"/>
    </xf>
    <xf numFmtId="0" fontId="4" fillId="0" borderId="0" xfId="0" applyFont="1"/>
    <xf numFmtId="164"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0" fontId="6" fillId="0" borderId="0" xfId="0" applyFont="1"/>
    <xf numFmtId="0" fontId="7" fillId="6" borderId="0" xfId="0" applyFont="1" applyFill="1" applyAlignment="1">
      <alignment vertical="center"/>
    </xf>
    <xf numFmtId="164" fontId="8" fillId="6" borderId="0" xfId="0" applyNumberFormat="1" applyFont="1" applyFill="1" applyAlignment="1">
      <alignment horizontal="center" vertical="center"/>
    </xf>
    <xf numFmtId="165" fontId="8" fillId="6" borderId="0" xfId="0" applyNumberFormat="1" applyFont="1" applyFill="1" applyAlignment="1">
      <alignment horizontal="center" vertical="center"/>
    </xf>
    <xf numFmtId="0" fontId="8" fillId="6"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0" fontId="9" fillId="0" borderId="0" xfId="0" applyFont="1"/>
    <xf numFmtId="0" fontId="3" fillId="0" borderId="0" xfId="0" applyFont="1" applyAlignment="1">
      <alignment horizontal="center"/>
    </xf>
    <xf numFmtId="0" fontId="0" fillId="0" borderId="0" xfId="0"/>
  </cellXfs>
  <cellStyles count="1">
    <cellStyle name="Normal" xfId="0" builtinId="0"/>
  </cellStyles>
  <dxfs count="6">
    <dxf>
      <numFmt numFmtId="166" formatCode="&quot;$&quot;#,##0.00"/>
    </dxf>
    <dxf>
      <numFmt numFmtId="166" formatCode="&quot;$&quot;#,##0.00"/>
    </dxf>
    <dxf>
      <numFmt numFmtId="166" formatCode="&quot;$&quot;#,##0.00"/>
    </dxf>
    <dxf>
      <font>
        <sz val="10"/>
        <color rgb="FF276221"/>
        <name val="Arial"/>
      </font>
      <fill>
        <patternFill patternType="solid">
          <fgColor rgb="FFC6EFCE"/>
        </patternFill>
      </fill>
    </dxf>
    <dxf>
      <font>
        <sz val="10"/>
        <color rgb="FF9C0006"/>
        <name val="Arial"/>
      </font>
      <fill>
        <patternFill patternType="solid">
          <fgColor rgb="FFFFC7CE"/>
        </patternFill>
      </fill>
    </dxf>
    <dxf>
      <numFmt numFmtId="166"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[Budget_vs_Actuals_PurtiLadani.xlsx]Dashboard!PivotTable1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CA" sz="1800" b="1" i="0" u="none" strike="noStrike" baseline="0"/>
              <a:t>Actual Spend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Dashboard!$E$4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Dashboard!$D$5:$D$11</c:f>
              <c:strCache>
                <c:ptCount val="6"/>
                <c:pt idx="0">
                  <c:v>Sales</c:v>
                </c:pt>
                <c:pt idx="1">
                  <c:v>Operations</c:v>
                </c:pt>
                <c:pt idx="2">
                  <c:v>IT</c:v>
                </c:pt>
                <c:pt idx="3">
                  <c:v>Marketing</c:v>
                </c:pt>
                <c:pt idx="4">
                  <c:v>HR</c:v>
                </c:pt>
                <c:pt idx="5">
                  <c:v>Finance</c:v>
                </c:pt>
              </c:strCache>
            </c:strRef>
          </c:cat>
          <c:val>
            <c:numRef>
              <c:f>Dashboard!$E$5:$E$11</c:f>
              <c:numCache>
                <c:formatCode>"$"#,##0.00</c:formatCode>
                <c:ptCount val="6"/>
                <c:pt idx="0">
                  <c:v>230232.00999999998</c:v>
                </c:pt>
                <c:pt idx="1">
                  <c:v>228978.01</c:v>
                </c:pt>
                <c:pt idx="2">
                  <c:v>195777.74</c:v>
                </c:pt>
                <c:pt idx="3">
                  <c:v>144026.57999999999</c:v>
                </c:pt>
                <c:pt idx="4">
                  <c:v>103833.49</c:v>
                </c:pt>
                <c:pt idx="5">
                  <c:v>97223.12999999999</c:v>
                </c:pt>
              </c:numCache>
            </c:numRef>
          </c:val>
          <c:extLst>
            <c:ext xmlns:c16="http://schemas.microsoft.com/office/drawing/2014/chart" uri="{C3380CC4-5D6E-409C-BE32-E72D297353CC}">
              <c16:uniqueId val="{00000000-34D4-4024-BB50-6DF9CE45E00F}"/>
            </c:ext>
          </c:extLst>
        </c:ser>
        <c:dLbls>
          <c:dLblPos val="outEnd"/>
          <c:showLegendKey val="0"/>
          <c:showVal val="1"/>
          <c:showCatName val="0"/>
          <c:showSerName val="0"/>
          <c:showPercent val="0"/>
          <c:showBubbleSize val="0"/>
        </c:dLbls>
        <c:gapWidth val="65"/>
        <c:axId val="58500272"/>
        <c:axId val="58510832"/>
      </c:barChart>
      <c:catAx>
        <c:axId val="585002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510832"/>
        <c:crosses val="autoZero"/>
        <c:auto val="1"/>
        <c:lblAlgn val="ctr"/>
        <c:lblOffset val="100"/>
        <c:noMultiLvlLbl val="0"/>
      </c:catAx>
      <c:valAx>
        <c:axId val="585108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5002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[Budget_vs_Actuals_PurtiLadani.xlsx]Dashboard!PivotTable2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CA"/>
              <a:t>Monthly Spending Trend — 2024</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73823622350145"/>
          <c:y val="1.9812264204801238E-2"/>
          <c:w val="0.77452001367406431"/>
          <c:h val="0.91454411342425401"/>
        </c:manualLayout>
      </c:layout>
      <c:lineChart>
        <c:grouping val="standard"/>
        <c:varyColors val="0"/>
        <c:ser>
          <c:idx val="0"/>
          <c:order val="0"/>
          <c:tx>
            <c:strRef>
              <c:f>Dashboard!$E$16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Dashboard!$D$17:$D$29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Dashboard!$E$17:$E$29</c:f>
              <c:numCache>
                <c:formatCode>"$"#,##0.00</c:formatCode>
                <c:ptCount val="12"/>
                <c:pt idx="0">
                  <c:v>91217.99</c:v>
                </c:pt>
                <c:pt idx="1">
                  <c:v>78469.17</c:v>
                </c:pt>
                <c:pt idx="2">
                  <c:v>81200.42</c:v>
                </c:pt>
                <c:pt idx="3">
                  <c:v>76910.430000000008</c:v>
                </c:pt>
                <c:pt idx="4">
                  <c:v>86679.24</c:v>
                </c:pt>
                <c:pt idx="5">
                  <c:v>76599.28</c:v>
                </c:pt>
                <c:pt idx="6">
                  <c:v>85201.469999999987</c:v>
                </c:pt>
                <c:pt idx="7">
                  <c:v>86097.74</c:v>
                </c:pt>
                <c:pt idx="8">
                  <c:v>83988.88</c:v>
                </c:pt>
                <c:pt idx="9">
                  <c:v>85879.75</c:v>
                </c:pt>
                <c:pt idx="10">
                  <c:v>83675.22</c:v>
                </c:pt>
                <c:pt idx="11">
                  <c:v>84151.37</c:v>
                </c:pt>
              </c:numCache>
            </c:numRef>
          </c:val>
          <c:smooth val="0"/>
          <c:extLst>
            <c:ext xmlns:c16="http://schemas.microsoft.com/office/drawing/2014/chart" uri="{C3380CC4-5D6E-409C-BE32-E72D297353CC}">
              <c16:uniqueId val="{00000000-A07A-4B4F-B1D2-3B884C3DA9AC}"/>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16030832"/>
        <c:axId val="316034192"/>
      </c:lineChart>
      <c:catAx>
        <c:axId val="3160308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6034192"/>
        <c:crosses val="autoZero"/>
        <c:auto val="1"/>
        <c:lblAlgn val="ctr"/>
        <c:lblOffset val="100"/>
        <c:noMultiLvlLbl val="0"/>
      </c:catAx>
      <c:valAx>
        <c:axId val="31603419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60308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[Budget_vs_Actuals_PurtiLadani.xlsx]Dashboard!PivotTable3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Spend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8022718105874"/>
          <c:y val="0.11504235474401102"/>
          <c:w val="0.78780975848562174"/>
          <c:h val="0.83521733609670956"/>
        </c:manualLayout>
      </c:layout>
      <c:barChart>
        <c:barDir val="bar"/>
        <c:grouping val="clustered"/>
        <c:varyColors val="0"/>
        <c:ser>
          <c:idx val="0"/>
          <c:order val="0"/>
          <c:tx>
            <c:strRef>
              <c:f>Dashboard!$E$31</c:f>
              <c:strCache>
                <c:ptCount val="1"/>
                <c:pt idx="0">
                  <c:v>Total</c:v>
                </c:pt>
              </c:strCache>
            </c:strRef>
          </c:tx>
          <c:spPr>
            <a:solidFill>
              <a:schemeClr val="accent1"/>
            </a:solidFill>
            <a:ln w="19050">
              <a:solidFill>
                <a:schemeClr val="lt1"/>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Dashboard!$D$32:$D$54</c:f>
              <c:strCache>
                <c:ptCount val="22"/>
                <c:pt idx="0">
                  <c:v>Training</c:v>
                </c:pt>
                <c:pt idx="1">
                  <c:v>Utilities</c:v>
                </c:pt>
                <c:pt idx="2">
                  <c:v>Hardware</c:v>
                </c:pt>
                <c:pt idx="3">
                  <c:v>Commissions</c:v>
                </c:pt>
                <c:pt idx="4">
                  <c:v>Logistics</c:v>
                </c:pt>
                <c:pt idx="5">
                  <c:v>Software</c:v>
                </c:pt>
                <c:pt idx="6">
                  <c:v>Tools</c:v>
                </c:pt>
                <c:pt idx="7">
                  <c:v>PR</c:v>
                </c:pt>
                <c:pt idx="8">
                  <c:v>Facilities</c:v>
                </c:pt>
                <c:pt idx="9">
                  <c:v>Support</c:v>
                </c:pt>
                <c:pt idx="10">
                  <c:v>Audit</c:v>
                </c:pt>
                <c:pt idx="11">
                  <c:v>Travel</c:v>
                </c:pt>
                <c:pt idx="12">
                  <c:v>Cloud</c:v>
                </c:pt>
                <c:pt idx="13">
                  <c:v>Digital Ads</c:v>
                </c:pt>
                <c:pt idx="14">
                  <c:v>Benefits</c:v>
                </c:pt>
                <c:pt idx="15">
                  <c:v>Events</c:v>
                </c:pt>
                <c:pt idx="16">
                  <c:v>Consulting</c:v>
                </c:pt>
                <c:pt idx="17">
                  <c:v>Content</c:v>
                </c:pt>
                <c:pt idx="18">
                  <c:v>Equipment</c:v>
                </c:pt>
                <c:pt idx="19">
                  <c:v>Payroll</c:v>
                </c:pt>
                <c:pt idx="20">
                  <c:v>Recruitment</c:v>
                </c:pt>
                <c:pt idx="21">
                  <c:v>Compliance</c:v>
                </c:pt>
              </c:strCache>
            </c:strRef>
          </c:cat>
          <c:val>
            <c:numRef>
              <c:f>Dashboard!$E$32:$E$54</c:f>
              <c:numCache>
                <c:formatCode>General</c:formatCode>
                <c:ptCount val="22"/>
                <c:pt idx="0">
                  <c:v>107037.47000000002</c:v>
                </c:pt>
                <c:pt idx="1">
                  <c:v>94218.010000000009</c:v>
                </c:pt>
                <c:pt idx="2">
                  <c:v>81386.880000000005</c:v>
                </c:pt>
                <c:pt idx="3">
                  <c:v>76661.48</c:v>
                </c:pt>
                <c:pt idx="4">
                  <c:v>64140.539999999994</c:v>
                </c:pt>
                <c:pt idx="5">
                  <c:v>61316.55</c:v>
                </c:pt>
                <c:pt idx="6">
                  <c:v>60620.450000000004</c:v>
                </c:pt>
                <c:pt idx="7">
                  <c:v>56269.120000000003</c:v>
                </c:pt>
                <c:pt idx="8">
                  <c:v>50582.38</c:v>
                </c:pt>
                <c:pt idx="9">
                  <c:v>49013.38</c:v>
                </c:pt>
                <c:pt idx="10">
                  <c:v>34952.39</c:v>
                </c:pt>
                <c:pt idx="11">
                  <c:v>32936.380000000005</c:v>
                </c:pt>
                <c:pt idx="12">
                  <c:v>32824.04</c:v>
                </c:pt>
                <c:pt idx="13">
                  <c:v>32336.159999999996</c:v>
                </c:pt>
                <c:pt idx="14">
                  <c:v>30563.45</c:v>
                </c:pt>
                <c:pt idx="15">
                  <c:v>30257.09</c:v>
                </c:pt>
                <c:pt idx="16">
                  <c:v>25447.749999999996</c:v>
                </c:pt>
                <c:pt idx="17">
                  <c:v>25164.21</c:v>
                </c:pt>
                <c:pt idx="18">
                  <c:v>20037.080000000002</c:v>
                </c:pt>
                <c:pt idx="19">
                  <c:v>17837.07</c:v>
                </c:pt>
                <c:pt idx="20">
                  <c:v>8409.2000000000007</c:v>
                </c:pt>
                <c:pt idx="21">
                  <c:v>8059.88</c:v>
                </c:pt>
              </c:numCache>
            </c:numRef>
          </c:val>
          <c:extLst>
            <c:ext xmlns:c16="http://schemas.microsoft.com/office/drawing/2014/chart" uri="{C3380CC4-5D6E-409C-BE32-E72D297353CC}">
              <c16:uniqueId val="{00000000-C118-4B8D-8E87-449045C556E6}"/>
            </c:ext>
          </c:extLst>
        </c:ser>
        <c:dLbls>
          <c:dLblPos val="outEnd"/>
          <c:showLegendKey val="0"/>
          <c:showVal val="1"/>
          <c:showCatName val="0"/>
          <c:showSerName val="0"/>
          <c:showPercent val="0"/>
          <c:showBubbleSize val="0"/>
        </c:dLbls>
        <c:gapWidth val="150"/>
        <c:axId val="316029392"/>
        <c:axId val="316032272"/>
      </c:barChart>
      <c:valAx>
        <c:axId val="3160322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29392"/>
        <c:crosses val="autoZero"/>
        <c:crossBetween val="between"/>
      </c:valAx>
      <c:catAx>
        <c:axId val="316029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322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149134</xdr:colOff>
      <xdr:row>32</xdr:row>
      <xdr:rowOff>163285</xdr:rowOff>
    </xdr:from>
    <xdr:to>
      <xdr:col>24</xdr:col>
      <xdr:colOff>551234</xdr:colOff>
      <xdr:row>54</xdr:row>
      <xdr:rowOff>81064</xdr:rowOff>
    </xdr:to>
    <xdr:graphicFrame macro="">
      <xdr:nvGraphicFramePr>
        <xdr:cNvPr id="2" name="Chart 1">
          <a:extLst>
            <a:ext uri="{FF2B5EF4-FFF2-40B4-BE49-F238E27FC236}">
              <a16:creationId xmlns:a16="http://schemas.microsoft.com/office/drawing/2014/main" id="{B97EB3C7-0F16-E7CB-96CC-DEF912BB4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245628</xdr:colOff>
      <xdr:row>3</xdr:row>
      <xdr:rowOff>1</xdr:rowOff>
    </xdr:from>
    <xdr:to>
      <xdr:col>15</xdr:col>
      <xdr:colOff>244929</xdr:colOff>
      <xdr:row>30</xdr:row>
      <xdr:rowOff>27214</xdr:rowOff>
    </xdr:to>
    <xdr:graphicFrame macro="">
      <xdr:nvGraphicFramePr>
        <xdr:cNvPr id="3" name="Chart 2">
          <a:extLst>
            <a:ext uri="{FF2B5EF4-FFF2-40B4-BE49-F238E27FC236}">
              <a16:creationId xmlns:a16="http://schemas.microsoft.com/office/drawing/2014/main" id="{7A6BE81E-C62C-2517-9A25-C2F55C43F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412467</xdr:colOff>
      <xdr:row>3</xdr:row>
      <xdr:rowOff>11430</xdr:rowOff>
    </xdr:from>
    <xdr:to>
      <xdr:col>24</xdr:col>
      <xdr:colOff>535021</xdr:colOff>
      <xdr:row>31</xdr:row>
      <xdr:rowOff>32425</xdr:rowOff>
    </xdr:to>
    <xdr:graphicFrame macro="">
      <xdr:nvGraphicFramePr>
        <xdr:cNvPr id="4" name="Chart 3">
          <a:extLst>
            <a:ext uri="{FF2B5EF4-FFF2-40B4-BE49-F238E27FC236}">
              <a16:creationId xmlns:a16="http://schemas.microsoft.com/office/drawing/2014/main" id="{614485A9-2CC6-603A-B14C-C9A4C0AD6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210104</xdr:colOff>
      <xdr:row>3</xdr:row>
      <xdr:rowOff>42221</xdr:rowOff>
    </xdr:from>
    <xdr:to>
      <xdr:col>28</xdr:col>
      <xdr:colOff>200678</xdr:colOff>
      <xdr:row>16</xdr:row>
      <xdr:rowOff>158011</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2974F3FB-950B-72D7-8FA5-07A9EFD8171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211466" y="690732"/>
              <a:ext cx="1838829" cy="243421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179141</xdr:colOff>
      <xdr:row>17</xdr:row>
      <xdr:rowOff>157716</xdr:rowOff>
    </xdr:from>
    <xdr:to>
      <xdr:col>28</xdr:col>
      <xdr:colOff>169715</xdr:colOff>
      <xdr:row>31</xdr:row>
      <xdr:rowOff>97506</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A1C96B6E-1059-2362-413E-724B0C336F8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180503" y="3302993"/>
              <a:ext cx="1838829" cy="243655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ti Ladani" refreshedDate="46142.511672569446" createdVersion="8" refreshedVersion="8" minRefreshableVersion="3" recordCount="72" xr:uid="{809A538E-B98D-4F48-8360-624B1134AB44}">
  <cacheSource type="worksheet">
    <worksheetSource ref="A1:E73" sheet="Raw Data"/>
  </cacheSource>
  <cacheFields count="5">
    <cacheField name="Month" numFmtId="0">
      <sharedItems count="12">
        <s v="Jan"/>
        <s v="Feb"/>
        <s v="Mar"/>
        <s v="Apr"/>
        <s v="May"/>
        <s v="Jun"/>
        <s v="Jul"/>
        <s v="Aug"/>
        <s v="Sep"/>
        <s v="Oct"/>
        <s v="Nov"/>
        <s v="Dec"/>
      </sharedItems>
    </cacheField>
    <cacheField name="Department" numFmtId="0">
      <sharedItems count="6">
        <s v="Marketing"/>
        <s v="HR"/>
        <s v="IT"/>
        <s v="Operations"/>
        <s v="Finance"/>
        <s v="Sales"/>
      </sharedItems>
    </cacheField>
    <cacheField name="Category" numFmtId="0">
      <sharedItems count="22">
        <s v="Digital Ads"/>
        <s v="Training"/>
        <s v="Hardware"/>
        <s v="Utilities"/>
        <s v="Audit"/>
        <s v="Commissions"/>
        <s v="Benefits"/>
        <s v="Support"/>
        <s v="Tools"/>
        <s v="PR"/>
        <s v="Consulting"/>
        <s v="Travel"/>
        <s v="Payroll"/>
        <s v="Facilities"/>
        <s v="Software"/>
        <s v="Events"/>
        <s v="Cloud"/>
        <s v="Logistics"/>
        <s v="Content"/>
        <s v="Equipment"/>
        <s v="Compliance"/>
        <s v="Recruitment"/>
      </sharedItems>
    </cacheField>
    <cacheField name="Actual Spend" numFmtId="164">
      <sharedItems containsSemiMixedTypes="0" containsString="0" containsNumber="1" minValue="5928.68" maxValue="23621.89"/>
    </cacheField>
    <cacheField name="Notes" numFmtId="0">
      <sharedItems/>
    </cacheField>
  </cacheFields>
  <extLst>
    <ext xmlns:x14="http://schemas.microsoft.com/office/spreadsheetml/2009/9/main" uri="{725AE2AE-9491-48be-B2B4-4EB974FC3084}">
      <x14:pivotCacheDefinition pivotCacheId="492486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n v="9432.51"/>
    <s v="Pending review"/>
  </r>
  <r>
    <x v="0"/>
    <x v="1"/>
    <x v="1"/>
    <n v="10302.93"/>
    <s v="Cost saving initiative"/>
  </r>
  <r>
    <x v="0"/>
    <x v="2"/>
    <x v="2"/>
    <n v="19678.060000000001"/>
    <s v="Within limits"/>
  </r>
  <r>
    <x v="0"/>
    <x v="3"/>
    <x v="3"/>
    <n v="21997.45"/>
    <s v="Pending review"/>
  </r>
  <r>
    <x v="0"/>
    <x v="4"/>
    <x v="4"/>
    <n v="11627.93"/>
    <s v="Within limits"/>
  </r>
  <r>
    <x v="0"/>
    <x v="5"/>
    <x v="5"/>
    <n v="18179.11"/>
    <s v="Pending review"/>
  </r>
  <r>
    <x v="1"/>
    <x v="0"/>
    <x v="0"/>
    <n v="11388.16"/>
    <s v="On track"/>
  </r>
  <r>
    <x v="1"/>
    <x v="1"/>
    <x v="6"/>
    <n v="6281.79"/>
    <s v="Cost saving initiative"/>
  </r>
  <r>
    <x v="1"/>
    <x v="2"/>
    <x v="7"/>
    <n v="17255.98"/>
    <s v="Cost saving initiative"/>
  </r>
  <r>
    <x v="1"/>
    <x v="3"/>
    <x v="3"/>
    <n v="17508.849999999999"/>
    <s v="Within limits"/>
  </r>
  <r>
    <x v="1"/>
    <x v="4"/>
    <x v="4"/>
    <n v="6614.89"/>
    <s v="On track"/>
  </r>
  <r>
    <x v="1"/>
    <x v="5"/>
    <x v="8"/>
    <n v="19419.5"/>
    <s v="Cost saving initiative"/>
  </r>
  <r>
    <x v="2"/>
    <x v="0"/>
    <x v="9"/>
    <n v="9380.93"/>
    <s v="Approved variance"/>
  </r>
  <r>
    <x v="2"/>
    <x v="1"/>
    <x v="6"/>
    <n v="7197.61"/>
    <s v="Within limits"/>
  </r>
  <r>
    <x v="2"/>
    <x v="2"/>
    <x v="2"/>
    <n v="16483.91"/>
    <s v="Approved variance"/>
  </r>
  <r>
    <x v="2"/>
    <x v="3"/>
    <x v="3"/>
    <n v="20231.32"/>
    <s v="Slight overrun"/>
  </r>
  <r>
    <x v="2"/>
    <x v="4"/>
    <x v="10"/>
    <n v="8451.56"/>
    <s v="Pending review"/>
  </r>
  <r>
    <x v="2"/>
    <x v="5"/>
    <x v="11"/>
    <n v="19455.09"/>
    <s v="Within limits"/>
  </r>
  <r>
    <x v="3"/>
    <x v="0"/>
    <x v="9"/>
    <n v="11278.76"/>
    <s v="Pending review"/>
  </r>
  <r>
    <x v="3"/>
    <x v="1"/>
    <x v="12"/>
    <n v="9166.16"/>
    <s v="Cost saving initiative"/>
  </r>
  <r>
    <x v="3"/>
    <x v="2"/>
    <x v="2"/>
    <n v="12442.44"/>
    <s v="Seasonal spike"/>
  </r>
  <r>
    <x v="3"/>
    <x v="3"/>
    <x v="13"/>
    <n v="16885.400000000001"/>
    <s v="Approved variance"/>
  </r>
  <r>
    <x v="3"/>
    <x v="4"/>
    <x v="14"/>
    <n v="5928.68"/>
    <s v="Within limits"/>
  </r>
  <r>
    <x v="3"/>
    <x v="5"/>
    <x v="8"/>
    <n v="21208.99"/>
    <s v="Approved variance"/>
  </r>
  <r>
    <x v="4"/>
    <x v="0"/>
    <x v="15"/>
    <n v="14807.93"/>
    <s v="Pending review"/>
  </r>
  <r>
    <x v="4"/>
    <x v="1"/>
    <x v="12"/>
    <n v="8670.91"/>
    <s v="Approved variance"/>
  </r>
  <r>
    <x v="4"/>
    <x v="2"/>
    <x v="16"/>
    <n v="15088.69"/>
    <s v="Within limits"/>
  </r>
  <r>
    <x v="4"/>
    <x v="3"/>
    <x v="3"/>
    <n v="16352.62"/>
    <s v="Approved variance"/>
  </r>
  <r>
    <x v="4"/>
    <x v="4"/>
    <x v="4"/>
    <n v="8580.26"/>
    <s v="Under budget"/>
  </r>
  <r>
    <x v="4"/>
    <x v="5"/>
    <x v="1"/>
    <n v="23178.83"/>
    <s v="Pending review"/>
  </r>
  <r>
    <x v="5"/>
    <x v="0"/>
    <x v="9"/>
    <n v="10926.61"/>
    <s v="Pending review"/>
  </r>
  <r>
    <x v="5"/>
    <x v="1"/>
    <x v="1"/>
    <n v="9446.98"/>
    <s v="Slight overrun"/>
  </r>
  <r>
    <x v="5"/>
    <x v="2"/>
    <x v="7"/>
    <n v="10766.62"/>
    <s v="On track"/>
  </r>
  <r>
    <x v="5"/>
    <x v="3"/>
    <x v="17"/>
    <n v="19716.419999999998"/>
    <s v="Within limits"/>
  </r>
  <r>
    <x v="5"/>
    <x v="4"/>
    <x v="14"/>
    <n v="6492.52"/>
    <s v="Slight overrun"/>
  </r>
  <r>
    <x v="5"/>
    <x v="5"/>
    <x v="1"/>
    <n v="19250.13"/>
    <s v="Under budget"/>
  </r>
  <r>
    <x v="6"/>
    <x v="0"/>
    <x v="18"/>
    <n v="11352.22"/>
    <s v="Under budget"/>
  </r>
  <r>
    <x v="6"/>
    <x v="1"/>
    <x v="1"/>
    <n v="8604.8799999999992"/>
    <s v="Cost saving initiative"/>
  </r>
  <r>
    <x v="6"/>
    <x v="2"/>
    <x v="16"/>
    <n v="17735.349999999999"/>
    <s v="Under budget"/>
  </r>
  <r>
    <x v="6"/>
    <x v="3"/>
    <x v="19"/>
    <n v="20037.080000000002"/>
    <s v="Pending review"/>
  </r>
  <r>
    <x v="6"/>
    <x v="4"/>
    <x v="10"/>
    <n v="8850.4599999999991"/>
    <s v="Cost saving initiative"/>
  </r>
  <r>
    <x v="6"/>
    <x v="5"/>
    <x v="5"/>
    <n v="18621.48"/>
    <s v="Seasonal spike"/>
  </r>
  <r>
    <x v="7"/>
    <x v="0"/>
    <x v="9"/>
    <n v="13708.33"/>
    <s v="Slight overrun"/>
  </r>
  <r>
    <x v="7"/>
    <x v="1"/>
    <x v="1"/>
    <n v="10469.9"/>
    <s v="On track"/>
  </r>
  <r>
    <x v="7"/>
    <x v="2"/>
    <x v="14"/>
    <n v="13864.35"/>
    <s v="Seasonal spike"/>
  </r>
  <r>
    <x v="7"/>
    <x v="3"/>
    <x v="17"/>
    <n v="20802.23"/>
    <s v="On track"/>
  </r>
  <r>
    <x v="7"/>
    <x v="4"/>
    <x v="14"/>
    <n v="9668.19"/>
    <s v="Within limits"/>
  </r>
  <r>
    <x v="7"/>
    <x v="5"/>
    <x v="1"/>
    <n v="17584.740000000002"/>
    <s v="Under budget"/>
  </r>
  <r>
    <x v="8"/>
    <x v="0"/>
    <x v="0"/>
    <n v="11515.49"/>
    <s v="On track"/>
  </r>
  <r>
    <x v="8"/>
    <x v="1"/>
    <x v="6"/>
    <n v="8890.0300000000007"/>
    <s v="Pending review"/>
  </r>
  <r>
    <x v="8"/>
    <x v="2"/>
    <x v="2"/>
    <n v="17334.32"/>
    <s v="On track"/>
  </r>
  <r>
    <x v="8"/>
    <x v="3"/>
    <x v="3"/>
    <n v="18127.77"/>
    <s v="Approved variance"/>
  </r>
  <r>
    <x v="8"/>
    <x v="4"/>
    <x v="4"/>
    <n v="8129.31"/>
    <s v="Pending review"/>
  </r>
  <r>
    <x v="8"/>
    <x v="5"/>
    <x v="8"/>
    <n v="19991.96"/>
    <s v="Slight overrun"/>
  </r>
  <r>
    <x v="9"/>
    <x v="0"/>
    <x v="15"/>
    <n v="15449.16"/>
    <s v="Under budget"/>
  </r>
  <r>
    <x v="9"/>
    <x v="1"/>
    <x v="6"/>
    <n v="8194.02"/>
    <s v="Slight overrun"/>
  </r>
  <r>
    <x v="9"/>
    <x v="2"/>
    <x v="14"/>
    <n v="18689.09"/>
    <s v="Under budget"/>
  </r>
  <r>
    <x v="9"/>
    <x v="3"/>
    <x v="13"/>
    <n v="17612.66"/>
    <s v="On track"/>
  </r>
  <r>
    <x v="9"/>
    <x v="4"/>
    <x v="10"/>
    <n v="8145.73"/>
    <s v="Approved variance"/>
  </r>
  <r>
    <x v="9"/>
    <x v="5"/>
    <x v="5"/>
    <n v="17789.09"/>
    <s v="On track"/>
  </r>
  <r>
    <x v="10"/>
    <x v="0"/>
    <x v="18"/>
    <n v="13811.99"/>
    <s v="Cost saving initiative"/>
  </r>
  <r>
    <x v="10"/>
    <x v="1"/>
    <x v="1"/>
    <n v="8199.08"/>
    <s v="Slight overrun"/>
  </r>
  <r>
    <x v="10"/>
    <x v="2"/>
    <x v="2"/>
    <n v="15448.15"/>
    <s v="On track"/>
  </r>
  <r>
    <x v="10"/>
    <x v="3"/>
    <x v="13"/>
    <n v="16084.32"/>
    <s v="Slight overrun"/>
  </r>
  <r>
    <x v="10"/>
    <x v="4"/>
    <x v="20"/>
    <n v="8059.88"/>
    <s v="Slight overrun"/>
  </r>
  <r>
    <x v="10"/>
    <x v="5"/>
    <x v="5"/>
    <n v="22071.8"/>
    <s v="Under budget"/>
  </r>
  <r>
    <x v="11"/>
    <x v="0"/>
    <x v="9"/>
    <n v="10974.49"/>
    <s v="Within limits"/>
  </r>
  <r>
    <x v="11"/>
    <x v="1"/>
    <x v="21"/>
    <n v="8409.2000000000007"/>
    <s v="On track"/>
  </r>
  <r>
    <x v="11"/>
    <x v="2"/>
    <x v="7"/>
    <n v="20990.78"/>
    <s v="Under budget"/>
  </r>
  <r>
    <x v="11"/>
    <x v="3"/>
    <x v="17"/>
    <n v="23621.89"/>
    <s v="Pending review"/>
  </r>
  <r>
    <x v="11"/>
    <x v="4"/>
    <x v="14"/>
    <n v="6673.72"/>
    <s v="Cost saving initiative"/>
  </r>
  <r>
    <x v="11"/>
    <x v="5"/>
    <x v="11"/>
    <n v="13481.29"/>
    <s v="Under 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B12B0C-2D3A-4C55-B62D-33C4BAAB35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1:E54" firstHeaderRow="1" firstDataRow="1" firstDataCol="1"/>
  <pivotFields count="5">
    <pivotField showAll="0">
      <items count="13">
        <item x="0"/>
        <item x="1"/>
        <item x="2"/>
        <item x="3"/>
        <item x="4"/>
        <item x="5"/>
        <item x="6"/>
        <item x="7"/>
        <item x="8"/>
        <item x="9"/>
        <item x="10"/>
        <item x="11"/>
        <item t="default"/>
      </items>
    </pivotField>
    <pivotField showAll="0">
      <items count="7">
        <item x="4"/>
        <item x="1"/>
        <item x="2"/>
        <item x="0"/>
        <item x="3"/>
        <item x="5"/>
        <item t="default"/>
      </items>
    </pivotField>
    <pivotField axis="axisRow" showAll="0" sortType="descending">
      <items count="23">
        <item x="4"/>
        <item x="6"/>
        <item x="16"/>
        <item x="5"/>
        <item x="20"/>
        <item x="10"/>
        <item x="18"/>
        <item x="0"/>
        <item x="19"/>
        <item x="15"/>
        <item x="13"/>
        <item x="2"/>
        <item x="17"/>
        <item x="12"/>
        <item x="9"/>
        <item x="21"/>
        <item x="14"/>
        <item x="7"/>
        <item x="8"/>
        <item x="1"/>
        <item x="11"/>
        <item x="3"/>
        <item t="default"/>
      </items>
      <autoSortScope>
        <pivotArea dataOnly="0" outline="0" fieldPosition="0">
          <references count="1">
            <reference field="4294967294" count="1" selected="0">
              <x v="0"/>
            </reference>
          </references>
        </pivotArea>
      </autoSortScope>
    </pivotField>
    <pivotField dataField="1" numFmtId="164" showAll="0"/>
    <pivotField showAll="0"/>
  </pivotFields>
  <rowFields count="1">
    <field x="2"/>
  </rowFields>
  <rowItems count="23">
    <i>
      <x v="19"/>
    </i>
    <i>
      <x v="21"/>
    </i>
    <i>
      <x v="11"/>
    </i>
    <i>
      <x v="3"/>
    </i>
    <i>
      <x v="12"/>
    </i>
    <i>
      <x v="16"/>
    </i>
    <i>
      <x v="18"/>
    </i>
    <i>
      <x v="14"/>
    </i>
    <i>
      <x v="10"/>
    </i>
    <i>
      <x v="17"/>
    </i>
    <i>
      <x/>
    </i>
    <i>
      <x v="20"/>
    </i>
    <i>
      <x v="2"/>
    </i>
    <i>
      <x v="7"/>
    </i>
    <i>
      <x v="1"/>
    </i>
    <i>
      <x v="9"/>
    </i>
    <i>
      <x v="5"/>
    </i>
    <i>
      <x v="6"/>
    </i>
    <i>
      <x v="8"/>
    </i>
    <i>
      <x v="13"/>
    </i>
    <i>
      <x v="15"/>
    </i>
    <i>
      <x v="4"/>
    </i>
    <i t="grand">
      <x/>
    </i>
  </rowItems>
  <colItems count="1">
    <i/>
  </colItems>
  <dataFields count="1">
    <dataField name="Sum of Actual Spend" fld="3" baseField="0" baseItem="0" numFmtId="164"/>
  </dataFields>
  <formats count="1">
    <format dxfId="2">
      <pivotArea collapsedLevelsAreSubtotals="1" fieldPosition="0">
        <references count="1">
          <reference field="2"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42AD3D-DBEA-4D41-836C-4FF1E6F0B1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6:E29" firstHeaderRow="1" firstDataRow="1" firstDataCol="1"/>
  <pivotFields count="5">
    <pivotField axis="axisRow" showAll="0" sortType="ascending">
      <items count="13">
        <item x="0"/>
        <item x="1"/>
        <item x="2"/>
        <item x="3"/>
        <item x="4"/>
        <item x="5"/>
        <item x="6"/>
        <item x="7"/>
        <item x="8"/>
        <item x="9"/>
        <item x="10"/>
        <item x="11"/>
        <item t="default"/>
      </items>
    </pivotField>
    <pivotField showAll="0">
      <items count="7">
        <item x="4"/>
        <item x="1"/>
        <item x="2"/>
        <item x="0"/>
        <item x="3"/>
        <item x="5"/>
        <item t="default"/>
      </items>
    </pivotField>
    <pivotField showAll="0"/>
    <pivotField dataField="1" numFmtId="164"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Actual Spend" fld="3" baseField="0" baseItem="2"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6D85D3-E552-411F-BA2D-4FE98DF8E5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11" firstHeaderRow="1" firstDataRow="1" firstDataCol="1"/>
  <pivotFields count="5">
    <pivotField showAll="0">
      <items count="13">
        <item x="0"/>
        <item x="1"/>
        <item x="2"/>
        <item x="3"/>
        <item x="4"/>
        <item x="5"/>
        <item x="6"/>
        <item x="7"/>
        <item x="8"/>
        <item x="9"/>
        <item x="10"/>
        <item x="11"/>
        <item t="default"/>
      </items>
    </pivotField>
    <pivotField axis="axisRow" showAll="0" sortType="descending">
      <items count="7">
        <item x="4"/>
        <item x="1"/>
        <item x="2"/>
        <item x="0"/>
        <item x="3"/>
        <item x="5"/>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s>
  <rowFields count="1">
    <field x="1"/>
  </rowFields>
  <rowItems count="7">
    <i>
      <x v="5"/>
    </i>
    <i>
      <x v="4"/>
    </i>
    <i>
      <x v="2"/>
    </i>
    <i>
      <x v="3"/>
    </i>
    <i>
      <x v="1"/>
    </i>
    <i>
      <x/>
    </i>
    <i t="grand">
      <x/>
    </i>
  </rowItems>
  <colItems count="1">
    <i/>
  </colItems>
  <dataFields count="1">
    <dataField name="Sum of Actual Spend" fld="3" baseField="1"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6CF39E-8BC3-43FA-85FA-9E35E26DB358}" sourceName="Department">
  <pivotTables>
    <pivotTable tabId="4" name="PivotTable1"/>
    <pivotTable tabId="4" name="PivotTable2"/>
    <pivotTable tabId="4" name="PivotTable3"/>
  </pivotTables>
  <data>
    <tabular pivotCacheId="492486109">
      <items count="6">
        <i x="4" s="1"/>
        <i x="1" s="1"/>
        <i x="2"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C4208DF-924E-40AC-AAB3-C93F396F5D8D}" sourceName="Month">
  <pivotTables>
    <pivotTable tabId="4" name="PivotTable2"/>
    <pivotTable tabId="4" name="PivotTable1"/>
    <pivotTable tabId="4" name="PivotTable3"/>
  </pivotTables>
  <data>
    <tabular pivotCacheId="49248610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3A97631-68D9-4FC4-9C02-890CAB69694F}" cache="Slicer_Department" caption="Department" rowHeight="234950"/>
  <slicer name="Month" xr10:uid="{1B86E50E-D0AB-46B5-91AE-9D841D6B0951}"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workbookViewId="0">
      <pane xSplit="1" ySplit="1" topLeftCell="B2" activePane="bottomRight" state="frozen"/>
      <selection pane="topRight"/>
      <selection pane="bottomLeft"/>
      <selection pane="bottomRight"/>
    </sheetView>
  </sheetViews>
  <sheetFormatPr defaultRowHeight="14.4" x14ac:dyDescent="0.3"/>
  <cols>
    <col min="1" max="1" width="14" customWidth="1"/>
    <col min="2" max="14" width="12" customWidth="1"/>
  </cols>
  <sheetData>
    <row r="1" spans="1:14" ht="22.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3">
        <v>11654.32</v>
      </c>
      <c r="C2" s="3">
        <v>10920.27</v>
      </c>
      <c r="D2" s="3">
        <v>10843.69</v>
      </c>
      <c r="E2" s="3">
        <v>11094.35</v>
      </c>
      <c r="F2" s="3">
        <v>12935.56</v>
      </c>
      <c r="G2" s="3">
        <v>11104.14</v>
      </c>
      <c r="H2" s="3">
        <v>11579.04</v>
      </c>
      <c r="I2" s="3">
        <v>12663.51</v>
      </c>
      <c r="J2" s="3">
        <v>12139.06</v>
      </c>
      <c r="K2" s="3">
        <v>13578.16</v>
      </c>
      <c r="L2" s="3">
        <v>11961.39</v>
      </c>
      <c r="M2" s="3">
        <v>11717.9</v>
      </c>
      <c r="N2" s="3">
        <f t="shared" ref="N2:N7" si="0">SUM(B2:M2)</f>
        <v>142191.38999999998</v>
      </c>
    </row>
    <row r="3" spans="1:14" x14ac:dyDescent="0.3">
      <c r="A3" s="4" t="s">
        <v>15</v>
      </c>
      <c r="B3" s="5">
        <v>8271.7199999999993</v>
      </c>
      <c r="C3" s="5">
        <v>7320.06</v>
      </c>
      <c r="D3" s="5">
        <v>8964.7999999999993</v>
      </c>
      <c r="E3" s="5">
        <v>7697.55</v>
      </c>
      <c r="F3" s="5">
        <v>7731.47</v>
      </c>
      <c r="G3" s="5">
        <v>8437.69</v>
      </c>
      <c r="H3" s="5">
        <v>7165.46</v>
      </c>
      <c r="I3" s="5">
        <v>8385.36</v>
      </c>
      <c r="J3" s="5">
        <v>8839.92</v>
      </c>
      <c r="K3" s="5">
        <v>7613.14</v>
      </c>
      <c r="L3" s="5">
        <v>9072.4599999999991</v>
      </c>
      <c r="M3" s="5">
        <v>8068.92</v>
      </c>
      <c r="N3" s="5">
        <f t="shared" si="0"/>
        <v>97568.55</v>
      </c>
    </row>
    <row r="4" spans="1:14" x14ac:dyDescent="0.3">
      <c r="A4" s="2" t="s">
        <v>16</v>
      </c>
      <c r="B4" s="3">
        <v>16235.13</v>
      </c>
      <c r="C4" s="3">
        <v>14860.68</v>
      </c>
      <c r="D4" s="3">
        <v>14561.8</v>
      </c>
      <c r="E4" s="3">
        <v>13962.3</v>
      </c>
      <c r="F4" s="3">
        <v>12784.29</v>
      </c>
      <c r="G4" s="3">
        <v>13666.94</v>
      </c>
      <c r="H4" s="3">
        <v>17203.060000000001</v>
      </c>
      <c r="I4" s="3">
        <v>15154.4</v>
      </c>
      <c r="J4" s="3">
        <v>14829.39</v>
      </c>
      <c r="K4" s="3">
        <v>16801.09</v>
      </c>
      <c r="L4" s="3">
        <v>15474.79</v>
      </c>
      <c r="M4" s="3">
        <v>17145.2</v>
      </c>
      <c r="N4" s="3">
        <f t="shared" si="0"/>
        <v>182679.07</v>
      </c>
    </row>
    <row r="5" spans="1:14" x14ac:dyDescent="0.3">
      <c r="A5" s="4" t="s">
        <v>17</v>
      </c>
      <c r="B5" s="5">
        <v>19145.150000000001</v>
      </c>
      <c r="C5" s="5">
        <v>18294.939999999999</v>
      </c>
      <c r="D5" s="5">
        <v>22524.59</v>
      </c>
      <c r="E5" s="5">
        <v>17964.87</v>
      </c>
      <c r="F5" s="5">
        <v>21751.03</v>
      </c>
      <c r="G5" s="5">
        <v>20572.509999999998</v>
      </c>
      <c r="H5" s="5">
        <v>22897.33</v>
      </c>
      <c r="I5" s="5">
        <v>22663.46</v>
      </c>
      <c r="J5" s="5">
        <v>20961.8</v>
      </c>
      <c r="K5" s="5">
        <v>17222.37</v>
      </c>
      <c r="L5" s="5">
        <v>17139.82</v>
      </c>
      <c r="M5" s="5">
        <v>19842.36</v>
      </c>
      <c r="N5" s="5">
        <f t="shared" si="0"/>
        <v>240980.22999999998</v>
      </c>
    </row>
    <row r="6" spans="1:14" x14ac:dyDescent="0.3">
      <c r="A6" s="2" t="s">
        <v>18</v>
      </c>
      <c r="B6" s="3">
        <v>9863.1</v>
      </c>
      <c r="C6" s="3">
        <v>7869.13</v>
      </c>
      <c r="D6" s="3">
        <v>8798.6299999999992</v>
      </c>
      <c r="E6" s="3">
        <v>7882.25</v>
      </c>
      <c r="F6" s="3">
        <v>8486.48</v>
      </c>
      <c r="G6" s="3">
        <v>7665.3</v>
      </c>
      <c r="H6" s="3">
        <v>8540.18</v>
      </c>
      <c r="I6" s="3">
        <v>9063.19</v>
      </c>
      <c r="J6" s="3">
        <v>8192.14</v>
      </c>
      <c r="K6" s="3">
        <v>9775.48</v>
      </c>
      <c r="L6" s="3">
        <v>7799.58</v>
      </c>
      <c r="M6" s="3">
        <v>8220.8700000000008</v>
      </c>
      <c r="N6" s="3">
        <f t="shared" si="0"/>
        <v>102156.32999999999</v>
      </c>
    </row>
    <row r="7" spans="1:14" x14ac:dyDescent="0.3">
      <c r="A7" s="4" t="s">
        <v>19</v>
      </c>
      <c r="B7" s="5">
        <v>16690.91</v>
      </c>
      <c r="C7" s="5">
        <v>17481.97</v>
      </c>
      <c r="D7" s="5">
        <v>19424.490000000002</v>
      </c>
      <c r="E7" s="5">
        <v>17210.57</v>
      </c>
      <c r="F7" s="5">
        <v>19052.990000000002</v>
      </c>
      <c r="G7" s="5">
        <v>20279.88</v>
      </c>
      <c r="H7" s="5">
        <v>16007.01</v>
      </c>
      <c r="I7" s="5">
        <v>19965.22</v>
      </c>
      <c r="J7" s="5">
        <v>18538.21</v>
      </c>
      <c r="K7" s="5">
        <v>19335</v>
      </c>
      <c r="L7" s="5">
        <v>18583.39</v>
      </c>
      <c r="M7" s="5">
        <v>17504.82</v>
      </c>
      <c r="N7" s="5">
        <f t="shared" si="0"/>
        <v>220074.46000000002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3"/>
  <sheetViews>
    <sheetView workbookViewId="0">
      <pane ySplit="1" topLeftCell="A2" activePane="bottomLeft" state="frozen"/>
      <selection pane="bottomLeft" activeCell="D66" sqref="D66"/>
    </sheetView>
  </sheetViews>
  <sheetFormatPr defaultRowHeight="14.4" x14ac:dyDescent="0.3"/>
  <cols>
    <col min="1" max="1" width="10" customWidth="1"/>
    <col min="2" max="2" width="14" customWidth="1"/>
    <col min="3" max="3" width="16" customWidth="1"/>
    <col min="4" max="4" width="14" customWidth="1"/>
    <col min="5" max="5" width="22" customWidth="1"/>
  </cols>
  <sheetData>
    <row r="1" spans="1:5" ht="22.05" customHeight="1" x14ac:dyDescent="0.3">
      <c r="A1" s="6" t="s">
        <v>20</v>
      </c>
      <c r="B1" s="6" t="s">
        <v>0</v>
      </c>
      <c r="C1" s="6" t="s">
        <v>21</v>
      </c>
      <c r="D1" s="6" t="s">
        <v>22</v>
      </c>
      <c r="E1" s="6" t="s">
        <v>23</v>
      </c>
    </row>
    <row r="2" spans="1:5" x14ac:dyDescent="0.3">
      <c r="A2" s="2" t="s">
        <v>1</v>
      </c>
      <c r="B2" s="2" t="s">
        <v>14</v>
      </c>
      <c r="C2" s="2" t="s">
        <v>24</v>
      </c>
      <c r="D2" s="3">
        <v>9432.51</v>
      </c>
      <c r="E2" s="2" t="s">
        <v>25</v>
      </c>
    </row>
    <row r="3" spans="1:5" x14ac:dyDescent="0.3">
      <c r="A3" s="4" t="s">
        <v>1</v>
      </c>
      <c r="B3" s="4" t="s">
        <v>15</v>
      </c>
      <c r="C3" s="4" t="s">
        <v>26</v>
      </c>
      <c r="D3" s="5">
        <v>10302.93</v>
      </c>
      <c r="E3" s="4" t="s">
        <v>27</v>
      </c>
    </row>
    <row r="4" spans="1:5" x14ac:dyDescent="0.3">
      <c r="A4" s="2" t="s">
        <v>1</v>
      </c>
      <c r="B4" s="2" t="s">
        <v>16</v>
      </c>
      <c r="C4" s="2" t="s">
        <v>28</v>
      </c>
      <c r="D4" s="3">
        <v>19678.060000000001</v>
      </c>
      <c r="E4" s="2" t="s">
        <v>29</v>
      </c>
    </row>
    <row r="5" spans="1:5" x14ac:dyDescent="0.3">
      <c r="A5" s="4" t="s">
        <v>1</v>
      </c>
      <c r="B5" s="4" t="s">
        <v>17</v>
      </c>
      <c r="C5" s="4" t="s">
        <v>30</v>
      </c>
      <c r="D5" s="5">
        <v>21997.45</v>
      </c>
      <c r="E5" s="4" t="s">
        <v>25</v>
      </c>
    </row>
    <row r="6" spans="1:5" x14ac:dyDescent="0.3">
      <c r="A6" s="2" t="s">
        <v>1</v>
      </c>
      <c r="B6" s="2" t="s">
        <v>18</v>
      </c>
      <c r="C6" s="2" t="s">
        <v>31</v>
      </c>
      <c r="D6" s="3">
        <v>11627.93</v>
      </c>
      <c r="E6" s="2" t="s">
        <v>29</v>
      </c>
    </row>
    <row r="7" spans="1:5" x14ac:dyDescent="0.3">
      <c r="A7" s="4" t="s">
        <v>1</v>
      </c>
      <c r="B7" s="4" t="s">
        <v>19</v>
      </c>
      <c r="C7" s="4" t="s">
        <v>32</v>
      </c>
      <c r="D7" s="5">
        <v>18179.11</v>
      </c>
      <c r="E7" s="4" t="s">
        <v>25</v>
      </c>
    </row>
    <row r="8" spans="1:5" x14ac:dyDescent="0.3">
      <c r="A8" s="2" t="s">
        <v>2</v>
      </c>
      <c r="B8" s="2" t="s">
        <v>14</v>
      </c>
      <c r="C8" s="2" t="s">
        <v>24</v>
      </c>
      <c r="D8" s="3">
        <v>11388.16</v>
      </c>
      <c r="E8" s="2" t="s">
        <v>33</v>
      </c>
    </row>
    <row r="9" spans="1:5" x14ac:dyDescent="0.3">
      <c r="A9" s="4" t="s">
        <v>2</v>
      </c>
      <c r="B9" s="4" t="s">
        <v>15</v>
      </c>
      <c r="C9" s="4" t="s">
        <v>34</v>
      </c>
      <c r="D9" s="5">
        <v>6281.79</v>
      </c>
      <c r="E9" s="4" t="s">
        <v>27</v>
      </c>
    </row>
    <row r="10" spans="1:5" x14ac:dyDescent="0.3">
      <c r="A10" s="2" t="s">
        <v>2</v>
      </c>
      <c r="B10" s="2" t="s">
        <v>16</v>
      </c>
      <c r="C10" s="2" t="s">
        <v>35</v>
      </c>
      <c r="D10" s="3">
        <v>17255.98</v>
      </c>
      <c r="E10" s="2" t="s">
        <v>27</v>
      </c>
    </row>
    <row r="11" spans="1:5" x14ac:dyDescent="0.3">
      <c r="A11" s="4" t="s">
        <v>2</v>
      </c>
      <c r="B11" s="4" t="s">
        <v>17</v>
      </c>
      <c r="C11" s="4" t="s">
        <v>30</v>
      </c>
      <c r="D11" s="5">
        <v>17508.849999999999</v>
      </c>
      <c r="E11" s="4" t="s">
        <v>29</v>
      </c>
    </row>
    <row r="12" spans="1:5" x14ac:dyDescent="0.3">
      <c r="A12" s="2" t="s">
        <v>2</v>
      </c>
      <c r="B12" s="2" t="s">
        <v>18</v>
      </c>
      <c r="C12" s="2" t="s">
        <v>31</v>
      </c>
      <c r="D12" s="3">
        <v>6614.89</v>
      </c>
      <c r="E12" s="2" t="s">
        <v>33</v>
      </c>
    </row>
    <row r="13" spans="1:5" x14ac:dyDescent="0.3">
      <c r="A13" s="4" t="s">
        <v>2</v>
      </c>
      <c r="B13" s="4" t="s">
        <v>19</v>
      </c>
      <c r="C13" s="4" t="s">
        <v>36</v>
      </c>
      <c r="D13" s="5">
        <v>19419.5</v>
      </c>
      <c r="E13" s="4" t="s">
        <v>27</v>
      </c>
    </row>
    <row r="14" spans="1:5" x14ac:dyDescent="0.3">
      <c r="A14" s="2" t="s">
        <v>3</v>
      </c>
      <c r="B14" s="2" t="s">
        <v>14</v>
      </c>
      <c r="C14" s="2" t="s">
        <v>37</v>
      </c>
      <c r="D14" s="3">
        <v>9380.93</v>
      </c>
      <c r="E14" s="2" t="s">
        <v>38</v>
      </c>
    </row>
    <row r="15" spans="1:5" x14ac:dyDescent="0.3">
      <c r="A15" s="4" t="s">
        <v>3</v>
      </c>
      <c r="B15" s="4" t="s">
        <v>15</v>
      </c>
      <c r="C15" s="4" t="s">
        <v>34</v>
      </c>
      <c r="D15" s="5">
        <v>7197.61</v>
      </c>
      <c r="E15" s="4" t="s">
        <v>29</v>
      </c>
    </row>
    <row r="16" spans="1:5" x14ac:dyDescent="0.3">
      <c r="A16" s="2" t="s">
        <v>3</v>
      </c>
      <c r="B16" s="2" t="s">
        <v>16</v>
      </c>
      <c r="C16" s="2" t="s">
        <v>28</v>
      </c>
      <c r="D16" s="3">
        <v>16483.91</v>
      </c>
      <c r="E16" s="2" t="s">
        <v>38</v>
      </c>
    </row>
    <row r="17" spans="1:5" x14ac:dyDescent="0.3">
      <c r="A17" s="4" t="s">
        <v>3</v>
      </c>
      <c r="B17" s="4" t="s">
        <v>17</v>
      </c>
      <c r="C17" s="4" t="s">
        <v>30</v>
      </c>
      <c r="D17" s="5">
        <v>20231.32</v>
      </c>
      <c r="E17" s="4" t="s">
        <v>39</v>
      </c>
    </row>
    <row r="18" spans="1:5" x14ac:dyDescent="0.3">
      <c r="A18" s="2" t="s">
        <v>3</v>
      </c>
      <c r="B18" s="2" t="s">
        <v>18</v>
      </c>
      <c r="C18" s="2" t="s">
        <v>40</v>
      </c>
      <c r="D18" s="3">
        <v>8451.56</v>
      </c>
      <c r="E18" s="2" t="s">
        <v>25</v>
      </c>
    </row>
    <row r="19" spans="1:5" x14ac:dyDescent="0.3">
      <c r="A19" s="4" t="s">
        <v>3</v>
      </c>
      <c r="B19" s="4" t="s">
        <v>19</v>
      </c>
      <c r="C19" s="4" t="s">
        <v>41</v>
      </c>
      <c r="D19" s="5">
        <v>19455.09</v>
      </c>
      <c r="E19" s="4" t="s">
        <v>29</v>
      </c>
    </row>
    <row r="20" spans="1:5" x14ac:dyDescent="0.3">
      <c r="A20" s="2" t="s">
        <v>4</v>
      </c>
      <c r="B20" s="2" t="s">
        <v>14</v>
      </c>
      <c r="C20" s="2" t="s">
        <v>37</v>
      </c>
      <c r="D20" s="3">
        <v>11278.76</v>
      </c>
      <c r="E20" s="2" t="s">
        <v>25</v>
      </c>
    </row>
    <row r="21" spans="1:5" x14ac:dyDescent="0.3">
      <c r="A21" s="4" t="s">
        <v>4</v>
      </c>
      <c r="B21" s="4" t="s">
        <v>15</v>
      </c>
      <c r="C21" s="4" t="s">
        <v>42</v>
      </c>
      <c r="D21" s="5">
        <v>9166.16</v>
      </c>
      <c r="E21" s="4" t="s">
        <v>27</v>
      </c>
    </row>
    <row r="22" spans="1:5" x14ac:dyDescent="0.3">
      <c r="A22" s="2" t="s">
        <v>4</v>
      </c>
      <c r="B22" s="2" t="s">
        <v>16</v>
      </c>
      <c r="C22" s="2" t="s">
        <v>28</v>
      </c>
      <c r="D22" s="3">
        <v>12442.44</v>
      </c>
      <c r="E22" s="2" t="s">
        <v>43</v>
      </c>
    </row>
    <row r="23" spans="1:5" x14ac:dyDescent="0.3">
      <c r="A23" s="4" t="s">
        <v>4</v>
      </c>
      <c r="B23" s="4" t="s">
        <v>17</v>
      </c>
      <c r="C23" s="4" t="s">
        <v>44</v>
      </c>
      <c r="D23" s="5">
        <v>16885.400000000001</v>
      </c>
      <c r="E23" s="4" t="s">
        <v>38</v>
      </c>
    </row>
    <row r="24" spans="1:5" x14ac:dyDescent="0.3">
      <c r="A24" s="2" t="s">
        <v>4</v>
      </c>
      <c r="B24" s="2" t="s">
        <v>18</v>
      </c>
      <c r="C24" s="2" t="s">
        <v>45</v>
      </c>
      <c r="D24" s="3">
        <v>5928.68</v>
      </c>
      <c r="E24" s="2" t="s">
        <v>29</v>
      </c>
    </row>
    <row r="25" spans="1:5" x14ac:dyDescent="0.3">
      <c r="A25" s="4" t="s">
        <v>4</v>
      </c>
      <c r="B25" s="4" t="s">
        <v>19</v>
      </c>
      <c r="C25" s="4" t="s">
        <v>36</v>
      </c>
      <c r="D25" s="5">
        <v>21208.99</v>
      </c>
      <c r="E25" s="4" t="s">
        <v>38</v>
      </c>
    </row>
    <row r="26" spans="1:5" x14ac:dyDescent="0.3">
      <c r="A26" s="2" t="s">
        <v>5</v>
      </c>
      <c r="B26" s="2" t="s">
        <v>14</v>
      </c>
      <c r="C26" s="2" t="s">
        <v>46</v>
      </c>
      <c r="D26" s="3">
        <v>14807.93</v>
      </c>
      <c r="E26" s="2" t="s">
        <v>25</v>
      </c>
    </row>
    <row r="27" spans="1:5" x14ac:dyDescent="0.3">
      <c r="A27" s="4" t="s">
        <v>5</v>
      </c>
      <c r="B27" s="4" t="s">
        <v>15</v>
      </c>
      <c r="C27" s="4" t="s">
        <v>42</v>
      </c>
      <c r="D27" s="5">
        <v>8670.91</v>
      </c>
      <c r="E27" s="4" t="s">
        <v>38</v>
      </c>
    </row>
    <row r="28" spans="1:5" x14ac:dyDescent="0.3">
      <c r="A28" s="2" t="s">
        <v>5</v>
      </c>
      <c r="B28" s="2" t="s">
        <v>16</v>
      </c>
      <c r="C28" s="2" t="s">
        <v>47</v>
      </c>
      <c r="D28" s="3">
        <v>15088.69</v>
      </c>
      <c r="E28" s="2" t="s">
        <v>29</v>
      </c>
    </row>
    <row r="29" spans="1:5" x14ac:dyDescent="0.3">
      <c r="A29" s="4" t="s">
        <v>5</v>
      </c>
      <c r="B29" s="4" t="s">
        <v>17</v>
      </c>
      <c r="C29" s="4" t="s">
        <v>30</v>
      </c>
      <c r="D29" s="5">
        <v>16352.62</v>
      </c>
      <c r="E29" s="4" t="s">
        <v>38</v>
      </c>
    </row>
    <row r="30" spans="1:5" x14ac:dyDescent="0.3">
      <c r="A30" s="2" t="s">
        <v>5</v>
      </c>
      <c r="B30" s="2" t="s">
        <v>18</v>
      </c>
      <c r="C30" s="2" t="s">
        <v>31</v>
      </c>
      <c r="D30" s="3">
        <v>8580.26</v>
      </c>
      <c r="E30" s="2" t="s">
        <v>48</v>
      </c>
    </row>
    <row r="31" spans="1:5" x14ac:dyDescent="0.3">
      <c r="A31" s="4" t="s">
        <v>5</v>
      </c>
      <c r="B31" s="4" t="s">
        <v>19</v>
      </c>
      <c r="C31" s="4" t="s">
        <v>26</v>
      </c>
      <c r="D31" s="5">
        <v>23178.83</v>
      </c>
      <c r="E31" s="4" t="s">
        <v>25</v>
      </c>
    </row>
    <row r="32" spans="1:5" x14ac:dyDescent="0.3">
      <c r="A32" s="2" t="s">
        <v>6</v>
      </c>
      <c r="B32" s="2" t="s">
        <v>14</v>
      </c>
      <c r="C32" s="2" t="s">
        <v>37</v>
      </c>
      <c r="D32" s="3">
        <v>10926.61</v>
      </c>
      <c r="E32" s="2" t="s">
        <v>25</v>
      </c>
    </row>
    <row r="33" spans="1:5" x14ac:dyDescent="0.3">
      <c r="A33" s="4" t="s">
        <v>6</v>
      </c>
      <c r="B33" s="4" t="s">
        <v>15</v>
      </c>
      <c r="C33" s="4" t="s">
        <v>26</v>
      </c>
      <c r="D33" s="5">
        <v>9446.98</v>
      </c>
      <c r="E33" s="4" t="s">
        <v>39</v>
      </c>
    </row>
    <row r="34" spans="1:5" x14ac:dyDescent="0.3">
      <c r="A34" s="2" t="s">
        <v>6</v>
      </c>
      <c r="B34" s="2" t="s">
        <v>16</v>
      </c>
      <c r="C34" s="2" t="s">
        <v>35</v>
      </c>
      <c r="D34" s="3">
        <v>10766.62</v>
      </c>
      <c r="E34" s="2" t="s">
        <v>33</v>
      </c>
    </row>
    <row r="35" spans="1:5" x14ac:dyDescent="0.3">
      <c r="A35" s="4" t="s">
        <v>6</v>
      </c>
      <c r="B35" s="4" t="s">
        <v>17</v>
      </c>
      <c r="C35" s="4" t="s">
        <v>49</v>
      </c>
      <c r="D35" s="5">
        <v>19716.419999999998</v>
      </c>
      <c r="E35" s="4" t="s">
        <v>29</v>
      </c>
    </row>
    <row r="36" spans="1:5" x14ac:dyDescent="0.3">
      <c r="A36" s="2" t="s">
        <v>6</v>
      </c>
      <c r="B36" s="2" t="s">
        <v>18</v>
      </c>
      <c r="C36" s="2" t="s">
        <v>45</v>
      </c>
      <c r="D36" s="3">
        <v>6492.52</v>
      </c>
      <c r="E36" s="2" t="s">
        <v>39</v>
      </c>
    </row>
    <row r="37" spans="1:5" x14ac:dyDescent="0.3">
      <c r="A37" s="4" t="s">
        <v>6</v>
      </c>
      <c r="B37" s="4" t="s">
        <v>19</v>
      </c>
      <c r="C37" s="4" t="s">
        <v>26</v>
      </c>
      <c r="D37" s="5">
        <v>19250.13</v>
      </c>
      <c r="E37" s="4" t="s">
        <v>48</v>
      </c>
    </row>
    <row r="38" spans="1:5" x14ac:dyDescent="0.3">
      <c r="A38" s="2" t="s">
        <v>7</v>
      </c>
      <c r="B38" s="2" t="s">
        <v>14</v>
      </c>
      <c r="C38" s="2" t="s">
        <v>50</v>
      </c>
      <c r="D38" s="3">
        <v>11352.22</v>
      </c>
      <c r="E38" s="2" t="s">
        <v>48</v>
      </c>
    </row>
    <row r="39" spans="1:5" x14ac:dyDescent="0.3">
      <c r="A39" s="4" t="s">
        <v>7</v>
      </c>
      <c r="B39" s="4" t="s">
        <v>15</v>
      </c>
      <c r="C39" s="4" t="s">
        <v>26</v>
      </c>
      <c r="D39" s="5">
        <v>8604.8799999999992</v>
      </c>
      <c r="E39" s="4" t="s">
        <v>27</v>
      </c>
    </row>
    <row r="40" spans="1:5" x14ac:dyDescent="0.3">
      <c r="A40" s="2" t="s">
        <v>7</v>
      </c>
      <c r="B40" s="2" t="s">
        <v>16</v>
      </c>
      <c r="C40" s="2" t="s">
        <v>47</v>
      </c>
      <c r="D40" s="3">
        <v>17735.349999999999</v>
      </c>
      <c r="E40" s="2" t="s">
        <v>48</v>
      </c>
    </row>
    <row r="41" spans="1:5" x14ac:dyDescent="0.3">
      <c r="A41" s="4" t="s">
        <v>7</v>
      </c>
      <c r="B41" s="4" t="s">
        <v>17</v>
      </c>
      <c r="C41" s="4" t="s">
        <v>51</v>
      </c>
      <c r="D41" s="5">
        <v>20037.080000000002</v>
      </c>
      <c r="E41" s="4" t="s">
        <v>25</v>
      </c>
    </row>
    <row r="42" spans="1:5" x14ac:dyDescent="0.3">
      <c r="A42" s="2" t="s">
        <v>7</v>
      </c>
      <c r="B42" s="2" t="s">
        <v>18</v>
      </c>
      <c r="C42" s="2" t="s">
        <v>40</v>
      </c>
      <c r="D42" s="3">
        <v>8850.4599999999991</v>
      </c>
      <c r="E42" s="2" t="s">
        <v>27</v>
      </c>
    </row>
    <row r="43" spans="1:5" x14ac:dyDescent="0.3">
      <c r="A43" s="4" t="s">
        <v>7</v>
      </c>
      <c r="B43" s="4" t="s">
        <v>19</v>
      </c>
      <c r="C43" s="4" t="s">
        <v>32</v>
      </c>
      <c r="D43" s="5">
        <v>18621.48</v>
      </c>
      <c r="E43" s="4" t="s">
        <v>43</v>
      </c>
    </row>
    <row r="44" spans="1:5" x14ac:dyDescent="0.3">
      <c r="A44" s="2" t="s">
        <v>8</v>
      </c>
      <c r="B44" s="2" t="s">
        <v>14</v>
      </c>
      <c r="C44" s="2" t="s">
        <v>37</v>
      </c>
      <c r="D44" s="3">
        <v>13708.33</v>
      </c>
      <c r="E44" s="2" t="s">
        <v>39</v>
      </c>
    </row>
    <row r="45" spans="1:5" x14ac:dyDescent="0.3">
      <c r="A45" s="4" t="s">
        <v>8</v>
      </c>
      <c r="B45" s="4" t="s">
        <v>15</v>
      </c>
      <c r="C45" s="4" t="s">
        <v>26</v>
      </c>
      <c r="D45" s="5">
        <v>10469.9</v>
      </c>
      <c r="E45" s="4" t="s">
        <v>33</v>
      </c>
    </row>
    <row r="46" spans="1:5" x14ac:dyDescent="0.3">
      <c r="A46" s="2" t="s">
        <v>8</v>
      </c>
      <c r="B46" s="2" t="s">
        <v>16</v>
      </c>
      <c r="C46" s="2" t="s">
        <v>45</v>
      </c>
      <c r="D46" s="3">
        <v>13864.35</v>
      </c>
      <c r="E46" s="2" t="s">
        <v>43</v>
      </c>
    </row>
    <row r="47" spans="1:5" x14ac:dyDescent="0.3">
      <c r="A47" s="4" t="s">
        <v>8</v>
      </c>
      <c r="B47" s="4" t="s">
        <v>17</v>
      </c>
      <c r="C47" s="4" t="s">
        <v>49</v>
      </c>
      <c r="D47" s="5">
        <v>20802.23</v>
      </c>
      <c r="E47" s="4" t="s">
        <v>33</v>
      </c>
    </row>
    <row r="48" spans="1:5" x14ac:dyDescent="0.3">
      <c r="A48" s="2" t="s">
        <v>8</v>
      </c>
      <c r="B48" s="2" t="s">
        <v>18</v>
      </c>
      <c r="C48" s="2" t="s">
        <v>45</v>
      </c>
      <c r="D48" s="3">
        <v>9668.19</v>
      </c>
      <c r="E48" s="2" t="s">
        <v>29</v>
      </c>
    </row>
    <row r="49" spans="1:5" x14ac:dyDescent="0.3">
      <c r="A49" s="4" t="s">
        <v>8</v>
      </c>
      <c r="B49" s="4" t="s">
        <v>19</v>
      </c>
      <c r="C49" s="4" t="s">
        <v>26</v>
      </c>
      <c r="D49" s="5">
        <v>17584.740000000002</v>
      </c>
      <c r="E49" s="4" t="s">
        <v>48</v>
      </c>
    </row>
    <row r="50" spans="1:5" x14ac:dyDescent="0.3">
      <c r="A50" s="2" t="s">
        <v>9</v>
      </c>
      <c r="B50" s="2" t="s">
        <v>14</v>
      </c>
      <c r="C50" s="2" t="s">
        <v>24</v>
      </c>
      <c r="D50" s="3">
        <v>11515.49</v>
      </c>
      <c r="E50" s="2" t="s">
        <v>33</v>
      </c>
    </row>
    <row r="51" spans="1:5" x14ac:dyDescent="0.3">
      <c r="A51" s="4" t="s">
        <v>9</v>
      </c>
      <c r="B51" s="4" t="s">
        <v>15</v>
      </c>
      <c r="C51" s="4" t="s">
        <v>34</v>
      </c>
      <c r="D51" s="5">
        <v>8890.0300000000007</v>
      </c>
      <c r="E51" s="4" t="s">
        <v>25</v>
      </c>
    </row>
    <row r="52" spans="1:5" x14ac:dyDescent="0.3">
      <c r="A52" s="2" t="s">
        <v>9</v>
      </c>
      <c r="B52" s="2" t="s">
        <v>16</v>
      </c>
      <c r="C52" s="2" t="s">
        <v>28</v>
      </c>
      <c r="D52" s="3">
        <v>17334.32</v>
      </c>
      <c r="E52" s="2" t="s">
        <v>33</v>
      </c>
    </row>
    <row r="53" spans="1:5" x14ac:dyDescent="0.3">
      <c r="A53" s="4" t="s">
        <v>9</v>
      </c>
      <c r="B53" s="4" t="s">
        <v>17</v>
      </c>
      <c r="C53" s="4" t="s">
        <v>30</v>
      </c>
      <c r="D53" s="5">
        <v>18127.77</v>
      </c>
      <c r="E53" s="4" t="s">
        <v>38</v>
      </c>
    </row>
    <row r="54" spans="1:5" x14ac:dyDescent="0.3">
      <c r="A54" s="2" t="s">
        <v>9</v>
      </c>
      <c r="B54" s="2" t="s">
        <v>18</v>
      </c>
      <c r="C54" s="2" t="s">
        <v>31</v>
      </c>
      <c r="D54" s="3">
        <v>8129.31</v>
      </c>
      <c r="E54" s="2" t="s">
        <v>25</v>
      </c>
    </row>
    <row r="55" spans="1:5" x14ac:dyDescent="0.3">
      <c r="A55" s="4" t="s">
        <v>9</v>
      </c>
      <c r="B55" s="4" t="s">
        <v>19</v>
      </c>
      <c r="C55" s="4" t="s">
        <v>36</v>
      </c>
      <c r="D55" s="5">
        <v>19991.96</v>
      </c>
      <c r="E55" s="4" t="s">
        <v>39</v>
      </c>
    </row>
    <row r="56" spans="1:5" x14ac:dyDescent="0.3">
      <c r="A56" s="2" t="s">
        <v>10</v>
      </c>
      <c r="B56" s="2" t="s">
        <v>14</v>
      </c>
      <c r="C56" s="2" t="s">
        <v>46</v>
      </c>
      <c r="D56" s="3">
        <v>15449.16</v>
      </c>
      <c r="E56" s="2" t="s">
        <v>48</v>
      </c>
    </row>
    <row r="57" spans="1:5" x14ac:dyDescent="0.3">
      <c r="A57" s="4" t="s">
        <v>10</v>
      </c>
      <c r="B57" s="4" t="s">
        <v>15</v>
      </c>
      <c r="C57" s="4" t="s">
        <v>34</v>
      </c>
      <c r="D57" s="5">
        <v>8194.02</v>
      </c>
      <c r="E57" s="4" t="s">
        <v>39</v>
      </c>
    </row>
    <row r="58" spans="1:5" x14ac:dyDescent="0.3">
      <c r="A58" s="2" t="s">
        <v>10</v>
      </c>
      <c r="B58" s="2" t="s">
        <v>16</v>
      </c>
      <c r="C58" s="2" t="s">
        <v>45</v>
      </c>
      <c r="D58" s="3">
        <v>18689.09</v>
      </c>
      <c r="E58" s="2" t="s">
        <v>48</v>
      </c>
    </row>
    <row r="59" spans="1:5" x14ac:dyDescent="0.3">
      <c r="A59" s="4" t="s">
        <v>10</v>
      </c>
      <c r="B59" s="4" t="s">
        <v>17</v>
      </c>
      <c r="C59" s="4" t="s">
        <v>44</v>
      </c>
      <c r="D59" s="5">
        <v>17612.66</v>
      </c>
      <c r="E59" s="4" t="s">
        <v>33</v>
      </c>
    </row>
    <row r="60" spans="1:5" x14ac:dyDescent="0.3">
      <c r="A60" s="2" t="s">
        <v>10</v>
      </c>
      <c r="B60" s="2" t="s">
        <v>18</v>
      </c>
      <c r="C60" s="2" t="s">
        <v>40</v>
      </c>
      <c r="D60" s="3">
        <v>8145.73</v>
      </c>
      <c r="E60" s="2" t="s">
        <v>38</v>
      </c>
    </row>
    <row r="61" spans="1:5" x14ac:dyDescent="0.3">
      <c r="A61" s="4" t="s">
        <v>10</v>
      </c>
      <c r="B61" s="4" t="s">
        <v>19</v>
      </c>
      <c r="C61" s="4" t="s">
        <v>32</v>
      </c>
      <c r="D61" s="5">
        <v>17789.09</v>
      </c>
      <c r="E61" s="4" t="s">
        <v>33</v>
      </c>
    </row>
    <row r="62" spans="1:5" x14ac:dyDescent="0.3">
      <c r="A62" s="2" t="s">
        <v>11</v>
      </c>
      <c r="B62" s="2" t="s">
        <v>14</v>
      </c>
      <c r="C62" s="2" t="s">
        <v>50</v>
      </c>
      <c r="D62" s="3">
        <v>13811.99</v>
      </c>
      <c r="E62" s="2" t="s">
        <v>27</v>
      </c>
    </row>
    <row r="63" spans="1:5" x14ac:dyDescent="0.3">
      <c r="A63" s="4" t="s">
        <v>11</v>
      </c>
      <c r="B63" s="4" t="s">
        <v>15</v>
      </c>
      <c r="C63" s="4" t="s">
        <v>26</v>
      </c>
      <c r="D63" s="5">
        <v>8199.08</v>
      </c>
      <c r="E63" s="4" t="s">
        <v>39</v>
      </c>
    </row>
    <row r="64" spans="1:5" x14ac:dyDescent="0.3">
      <c r="A64" s="2" t="s">
        <v>11</v>
      </c>
      <c r="B64" s="2" t="s">
        <v>16</v>
      </c>
      <c r="C64" s="2" t="s">
        <v>28</v>
      </c>
      <c r="D64" s="3">
        <v>15448.15</v>
      </c>
      <c r="E64" s="2" t="s">
        <v>33</v>
      </c>
    </row>
    <row r="65" spans="1:5" x14ac:dyDescent="0.3">
      <c r="A65" s="4" t="s">
        <v>11</v>
      </c>
      <c r="B65" s="4" t="s">
        <v>17</v>
      </c>
      <c r="C65" s="4" t="s">
        <v>44</v>
      </c>
      <c r="D65" s="5">
        <v>16084.32</v>
      </c>
      <c r="E65" s="4" t="s">
        <v>39</v>
      </c>
    </row>
    <row r="66" spans="1:5" x14ac:dyDescent="0.3">
      <c r="A66" s="2" t="s">
        <v>11</v>
      </c>
      <c r="B66" s="2" t="s">
        <v>18</v>
      </c>
      <c r="C66" s="2" t="s">
        <v>52</v>
      </c>
      <c r="D66" s="3">
        <v>8059.88</v>
      </c>
      <c r="E66" s="2" t="s">
        <v>39</v>
      </c>
    </row>
    <row r="67" spans="1:5" x14ac:dyDescent="0.3">
      <c r="A67" s="4" t="s">
        <v>11</v>
      </c>
      <c r="B67" s="4" t="s">
        <v>19</v>
      </c>
      <c r="C67" s="4" t="s">
        <v>32</v>
      </c>
      <c r="D67" s="5">
        <v>22071.8</v>
      </c>
      <c r="E67" s="4" t="s">
        <v>48</v>
      </c>
    </row>
    <row r="68" spans="1:5" x14ac:dyDescent="0.3">
      <c r="A68" s="2" t="s">
        <v>12</v>
      </c>
      <c r="B68" s="2" t="s">
        <v>14</v>
      </c>
      <c r="C68" s="2" t="s">
        <v>37</v>
      </c>
      <c r="D68" s="3">
        <v>10974.49</v>
      </c>
      <c r="E68" s="2" t="s">
        <v>29</v>
      </c>
    </row>
    <row r="69" spans="1:5" x14ac:dyDescent="0.3">
      <c r="A69" s="4" t="s">
        <v>12</v>
      </c>
      <c r="B69" s="4" t="s">
        <v>15</v>
      </c>
      <c r="C69" s="4" t="s">
        <v>53</v>
      </c>
      <c r="D69" s="5">
        <v>8409.2000000000007</v>
      </c>
      <c r="E69" s="4" t="s">
        <v>33</v>
      </c>
    </row>
    <row r="70" spans="1:5" x14ac:dyDescent="0.3">
      <c r="A70" s="2" t="s">
        <v>12</v>
      </c>
      <c r="B70" s="2" t="s">
        <v>16</v>
      </c>
      <c r="C70" s="2" t="s">
        <v>35</v>
      </c>
      <c r="D70" s="3">
        <v>20990.78</v>
      </c>
      <c r="E70" s="2" t="s">
        <v>48</v>
      </c>
    </row>
    <row r="71" spans="1:5" x14ac:dyDescent="0.3">
      <c r="A71" s="4" t="s">
        <v>12</v>
      </c>
      <c r="B71" s="4" t="s">
        <v>17</v>
      </c>
      <c r="C71" s="4" t="s">
        <v>49</v>
      </c>
      <c r="D71" s="5">
        <v>23621.89</v>
      </c>
      <c r="E71" s="4" t="s">
        <v>25</v>
      </c>
    </row>
    <row r="72" spans="1:5" x14ac:dyDescent="0.3">
      <c r="A72" s="2" t="s">
        <v>12</v>
      </c>
      <c r="B72" s="2" t="s">
        <v>18</v>
      </c>
      <c r="C72" s="2" t="s">
        <v>45</v>
      </c>
      <c r="D72" s="3">
        <v>6673.72</v>
      </c>
      <c r="E72" s="2" t="s">
        <v>27</v>
      </c>
    </row>
    <row r="73" spans="1:5" x14ac:dyDescent="0.3">
      <c r="A73" s="4" t="s">
        <v>12</v>
      </c>
      <c r="B73" s="4" t="s">
        <v>19</v>
      </c>
      <c r="C73" s="4" t="s">
        <v>41</v>
      </c>
      <c r="D73" s="5">
        <v>13481.29</v>
      </c>
      <c r="E73" s="4"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
  <sheetViews>
    <sheetView zoomScale="68" workbookViewId="0">
      <pane xSplit="1" ySplit="2" topLeftCell="B3" activePane="bottomRight" state="frozen"/>
      <selection pane="topRight"/>
      <selection pane="bottomLeft"/>
      <selection pane="bottomRight" activeCell="M21" sqref="M21"/>
    </sheetView>
  </sheetViews>
  <sheetFormatPr defaultRowHeight="14.4" x14ac:dyDescent="0.3"/>
  <cols>
    <col min="1" max="1" width="14" customWidth="1"/>
    <col min="2" max="13" width="11" customWidth="1"/>
    <col min="14" max="17" width="15.77734375" customWidth="1"/>
  </cols>
  <sheetData>
    <row r="1" spans="1:17" ht="28.05" customHeight="1" x14ac:dyDescent="0.3">
      <c r="A1" s="22" t="s">
        <v>54</v>
      </c>
      <c r="B1" s="23"/>
      <c r="C1" s="23"/>
      <c r="D1" s="23"/>
      <c r="E1" s="23"/>
      <c r="F1" s="23"/>
      <c r="G1" s="23"/>
      <c r="H1" s="23"/>
      <c r="I1" s="23"/>
      <c r="J1" s="23"/>
      <c r="K1" s="23"/>
      <c r="L1" s="23"/>
      <c r="M1" s="23"/>
      <c r="N1" s="23"/>
      <c r="O1" s="23"/>
      <c r="P1" s="23"/>
    </row>
    <row r="2" spans="1:17" ht="22.05" customHeight="1" x14ac:dyDescent="0.3">
      <c r="A2" s="1" t="s">
        <v>0</v>
      </c>
      <c r="B2" s="1" t="s">
        <v>1</v>
      </c>
      <c r="C2" s="1" t="s">
        <v>2</v>
      </c>
      <c r="D2" s="1" t="s">
        <v>3</v>
      </c>
      <c r="E2" s="1" t="s">
        <v>4</v>
      </c>
      <c r="F2" s="1" t="s">
        <v>5</v>
      </c>
      <c r="G2" s="1" t="s">
        <v>6</v>
      </c>
      <c r="H2" s="1" t="s">
        <v>7</v>
      </c>
      <c r="I2" s="1" t="s">
        <v>8</v>
      </c>
      <c r="J2" s="1" t="s">
        <v>9</v>
      </c>
      <c r="K2" s="1" t="s">
        <v>10</v>
      </c>
      <c r="L2" s="1" t="s">
        <v>11</v>
      </c>
      <c r="M2" s="1" t="s">
        <v>12</v>
      </c>
      <c r="N2" s="1" t="s">
        <v>55</v>
      </c>
      <c r="O2" s="1" t="s">
        <v>56</v>
      </c>
      <c r="P2" s="1" t="s">
        <v>57</v>
      </c>
      <c r="Q2" s="1" t="s">
        <v>58</v>
      </c>
    </row>
    <row r="3" spans="1:17" x14ac:dyDescent="0.3">
      <c r="A3" s="4" t="s">
        <v>14</v>
      </c>
      <c r="B3" s="5">
        <v>-2221.81</v>
      </c>
      <c r="C3" s="5">
        <v>467.89</v>
      </c>
      <c r="D3" s="5">
        <v>-1462.76</v>
      </c>
      <c r="E3" s="5">
        <v>184.41</v>
      </c>
      <c r="F3" s="5">
        <v>1872.37</v>
      </c>
      <c r="G3" s="5">
        <v>-177.53</v>
      </c>
      <c r="H3" s="5">
        <v>-226.82</v>
      </c>
      <c r="I3" s="5">
        <v>1044.82</v>
      </c>
      <c r="J3" s="5">
        <v>-623.57000000000005</v>
      </c>
      <c r="K3" s="5">
        <v>1871</v>
      </c>
      <c r="L3" s="5">
        <v>1850.6</v>
      </c>
      <c r="M3" s="5">
        <v>-743.41</v>
      </c>
      <c r="N3" s="5">
        <v>142191.39000000001</v>
      </c>
      <c r="O3" s="5">
        <v>144026.57999999999</v>
      </c>
      <c r="P3" s="5">
        <v>1835.19</v>
      </c>
      <c r="Q3" s="7">
        <v>1.0128999999999999</v>
      </c>
    </row>
    <row r="4" spans="1:17" x14ac:dyDescent="0.3">
      <c r="A4" s="2" t="s">
        <v>15</v>
      </c>
      <c r="B4" s="3">
        <v>2031.21</v>
      </c>
      <c r="C4" s="3">
        <v>-1038.27</v>
      </c>
      <c r="D4" s="3">
        <v>-1767.19</v>
      </c>
      <c r="E4" s="3">
        <v>1468.61</v>
      </c>
      <c r="F4" s="3">
        <v>939.44</v>
      </c>
      <c r="G4" s="3">
        <v>1009.29</v>
      </c>
      <c r="H4" s="3">
        <v>1439.42</v>
      </c>
      <c r="I4" s="3">
        <v>2084.54</v>
      </c>
      <c r="J4" s="3">
        <v>50.11</v>
      </c>
      <c r="K4" s="3">
        <v>580.88</v>
      </c>
      <c r="L4" s="3">
        <v>-873.38</v>
      </c>
      <c r="M4" s="3">
        <v>340.28</v>
      </c>
      <c r="N4" s="3">
        <v>97568.55</v>
      </c>
      <c r="O4" s="3">
        <v>103833.49</v>
      </c>
      <c r="P4" s="3">
        <v>6264.94</v>
      </c>
      <c r="Q4" s="8">
        <v>1.0642</v>
      </c>
    </row>
    <row r="5" spans="1:17" x14ac:dyDescent="0.3">
      <c r="A5" s="4" t="s">
        <v>16</v>
      </c>
      <c r="B5" s="5">
        <v>3442.93</v>
      </c>
      <c r="C5" s="5">
        <v>2395.3000000000002</v>
      </c>
      <c r="D5" s="5">
        <v>1922.11</v>
      </c>
      <c r="E5" s="5">
        <v>-1519.86</v>
      </c>
      <c r="F5" s="5">
        <v>2304.4</v>
      </c>
      <c r="G5" s="5">
        <v>-2900.32</v>
      </c>
      <c r="H5" s="5">
        <v>532.29</v>
      </c>
      <c r="I5" s="5">
        <v>-1290.05</v>
      </c>
      <c r="J5" s="5">
        <v>2504.9299999999998</v>
      </c>
      <c r="K5" s="5">
        <v>1888</v>
      </c>
      <c r="L5" s="5">
        <v>-26.64</v>
      </c>
      <c r="M5" s="5">
        <v>3845.58</v>
      </c>
      <c r="N5" s="5">
        <v>182679.07</v>
      </c>
      <c r="O5" s="5">
        <v>195777.74</v>
      </c>
      <c r="P5" s="5">
        <v>13098.67</v>
      </c>
      <c r="Q5" s="7">
        <v>1.0717000000000001</v>
      </c>
    </row>
    <row r="6" spans="1:17" x14ac:dyDescent="0.3">
      <c r="A6" s="2" t="s">
        <v>17</v>
      </c>
      <c r="B6" s="3">
        <v>2852.3</v>
      </c>
      <c r="C6" s="3">
        <v>-786.09</v>
      </c>
      <c r="D6" s="3">
        <v>-2293.27</v>
      </c>
      <c r="E6" s="3">
        <v>-1079.47</v>
      </c>
      <c r="F6" s="3">
        <v>-5398.41</v>
      </c>
      <c r="G6" s="3">
        <v>-856.09</v>
      </c>
      <c r="H6" s="3">
        <v>-2860.25</v>
      </c>
      <c r="I6" s="3">
        <v>-1861.23</v>
      </c>
      <c r="J6" s="3">
        <v>-2834.03</v>
      </c>
      <c r="K6" s="3">
        <v>390.29</v>
      </c>
      <c r="L6" s="3">
        <v>-1055.5</v>
      </c>
      <c r="M6" s="3">
        <v>3779.53</v>
      </c>
      <c r="N6" s="3">
        <v>240980.23</v>
      </c>
      <c r="O6" s="3">
        <v>228978.01</v>
      </c>
      <c r="P6" s="3">
        <v>-12002.22</v>
      </c>
      <c r="Q6" s="8">
        <v>0.95020000000000004</v>
      </c>
    </row>
    <row r="7" spans="1:17" x14ac:dyDescent="0.3">
      <c r="A7" s="4" t="s">
        <v>18</v>
      </c>
      <c r="B7" s="5">
        <v>1764.83</v>
      </c>
      <c r="C7" s="5">
        <v>-1254.24</v>
      </c>
      <c r="D7" s="5">
        <v>-347.07</v>
      </c>
      <c r="E7" s="5">
        <v>-1953.57</v>
      </c>
      <c r="F7" s="5">
        <v>93.78</v>
      </c>
      <c r="G7" s="5">
        <v>-1172.78</v>
      </c>
      <c r="H7" s="5">
        <v>310.27999999999997</v>
      </c>
      <c r="I7" s="5">
        <v>605</v>
      </c>
      <c r="J7" s="5">
        <v>-62.83</v>
      </c>
      <c r="K7" s="5">
        <v>-1629.75</v>
      </c>
      <c r="L7" s="5">
        <v>260.3</v>
      </c>
      <c r="M7" s="5">
        <v>-1547.15</v>
      </c>
      <c r="N7" s="5">
        <v>102156.33</v>
      </c>
      <c r="O7" s="5">
        <v>97223.13</v>
      </c>
      <c r="P7" s="5">
        <v>-4933.2</v>
      </c>
      <c r="Q7" s="7">
        <v>0.95169999999999999</v>
      </c>
    </row>
    <row r="8" spans="1:17" x14ac:dyDescent="0.3">
      <c r="A8" s="2" t="s">
        <v>19</v>
      </c>
      <c r="B8" s="3">
        <v>1488.2</v>
      </c>
      <c r="C8" s="3">
        <v>1937.53</v>
      </c>
      <c r="D8" s="3">
        <v>30.6</v>
      </c>
      <c r="E8" s="3">
        <v>3998.42</v>
      </c>
      <c r="F8" s="3">
        <v>4125.84</v>
      </c>
      <c r="G8" s="3">
        <v>-1029.75</v>
      </c>
      <c r="H8" s="3">
        <v>2614.4699999999998</v>
      </c>
      <c r="I8" s="3">
        <v>-2380.48</v>
      </c>
      <c r="J8" s="3">
        <v>1453.75</v>
      </c>
      <c r="K8" s="3">
        <v>-1545.91</v>
      </c>
      <c r="L8" s="3">
        <v>3488.41</v>
      </c>
      <c r="M8" s="3">
        <v>-4023.53</v>
      </c>
      <c r="N8" s="3">
        <v>220074.46</v>
      </c>
      <c r="O8" s="3">
        <v>230232.01</v>
      </c>
      <c r="P8" s="3">
        <v>10157.549999999999</v>
      </c>
      <c r="Q8" s="8">
        <v>1.0462</v>
      </c>
    </row>
    <row r="9" spans="1:17" x14ac:dyDescent="0.3">
      <c r="A9" s="9" t="s">
        <v>59</v>
      </c>
      <c r="B9" s="10">
        <f t="shared" ref="B9:Q9" si="0">SUM(B3:B8)</f>
        <v>9357.66</v>
      </c>
      <c r="C9" s="10">
        <f t="shared" si="0"/>
        <v>1722.12</v>
      </c>
      <c r="D9" s="10">
        <f t="shared" si="0"/>
        <v>-3917.58</v>
      </c>
      <c r="E9" s="10">
        <f t="shared" si="0"/>
        <v>1098.54</v>
      </c>
      <c r="F9" s="10">
        <f t="shared" si="0"/>
        <v>3937.4200000000005</v>
      </c>
      <c r="G9" s="10">
        <f t="shared" si="0"/>
        <v>-5127.18</v>
      </c>
      <c r="H9" s="10">
        <f t="shared" si="0"/>
        <v>1809.3899999999999</v>
      </c>
      <c r="I9" s="10">
        <f t="shared" si="0"/>
        <v>-1797.4000000000003</v>
      </c>
      <c r="J9" s="10">
        <f t="shared" si="0"/>
        <v>488.35999999999956</v>
      </c>
      <c r="K9" s="10">
        <f t="shared" si="0"/>
        <v>1554.51</v>
      </c>
      <c r="L9" s="10">
        <f t="shared" si="0"/>
        <v>3643.79</v>
      </c>
      <c r="M9" s="10">
        <f t="shared" si="0"/>
        <v>1651.2999999999997</v>
      </c>
      <c r="N9" s="10">
        <f t="shared" si="0"/>
        <v>985650.02999999991</v>
      </c>
      <c r="O9" s="10">
        <f t="shared" si="0"/>
        <v>1000070.9600000001</v>
      </c>
      <c r="P9" s="10">
        <f t="shared" si="0"/>
        <v>14420.93</v>
      </c>
      <c r="Q9" s="11">
        <f t="shared" si="0"/>
        <v>6.0968999999999989</v>
      </c>
    </row>
  </sheetData>
  <mergeCells count="1">
    <mergeCell ref="A1:P1"/>
  </mergeCells>
  <conditionalFormatting sqref="B3:M8">
    <cfRule type="cellIs" dxfId="4" priority="1" operator="greaterThan">
      <formula>0</formula>
    </cfRule>
    <cfRule type="cellIs" dxfId="3" priority="2" operator="lessThan">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4"/>
  <sheetViews>
    <sheetView showGridLines="0" showRowColHeaders="0" tabSelected="1" topLeftCell="A2" zoomScale="72" zoomScaleNormal="97" workbookViewId="0">
      <selection activeCell="F20" sqref="F20"/>
    </sheetView>
  </sheetViews>
  <sheetFormatPr defaultRowHeight="14.4" x14ac:dyDescent="0.3"/>
  <cols>
    <col min="1" max="1" width="25" customWidth="1"/>
    <col min="2" max="2" width="20" customWidth="1"/>
    <col min="4" max="4" width="18.21875" bestFit="1" customWidth="1"/>
    <col min="5" max="5" width="25.109375" bestFit="1" customWidth="1"/>
  </cols>
  <sheetData>
    <row r="1" spans="1:5" ht="22.8" x14ac:dyDescent="0.4">
      <c r="A1" s="21" t="s">
        <v>60</v>
      </c>
    </row>
    <row r="2" spans="1:5" x14ac:dyDescent="0.3">
      <c r="A2" s="12" t="s">
        <v>61</v>
      </c>
    </row>
    <row r="4" spans="1:5" x14ac:dyDescent="0.3">
      <c r="A4" s="13" t="s">
        <v>62</v>
      </c>
      <c r="B4" s="14">
        <f>SUM('Budget Plan'!N2:N7)</f>
        <v>985650.03</v>
      </c>
      <c r="D4" s="17" t="s">
        <v>68</v>
      </c>
      <c r="E4" t="s">
        <v>69</v>
      </c>
    </row>
    <row r="5" spans="1:5" x14ac:dyDescent="0.3">
      <c r="D5" s="18" t="s">
        <v>19</v>
      </c>
      <c r="E5" s="20">
        <v>230232.00999999998</v>
      </c>
    </row>
    <row r="6" spans="1:5" x14ac:dyDescent="0.3">
      <c r="A6" s="13" t="s">
        <v>63</v>
      </c>
      <c r="B6" s="14">
        <f>SUM('Raw Data'!D2:D73)</f>
        <v>1000070.9599999996</v>
      </c>
      <c r="D6" s="18" t="s">
        <v>17</v>
      </c>
      <c r="E6" s="20">
        <v>228978.01</v>
      </c>
    </row>
    <row r="7" spans="1:5" x14ac:dyDescent="0.3">
      <c r="D7" s="18" t="s">
        <v>16</v>
      </c>
      <c r="E7" s="20">
        <v>195777.74</v>
      </c>
    </row>
    <row r="8" spans="1:5" x14ac:dyDescent="0.3">
      <c r="A8" s="13" t="s">
        <v>57</v>
      </c>
      <c r="B8" s="14">
        <f>B6-B4</f>
        <v>14420.929999999586</v>
      </c>
      <c r="D8" s="18" t="s">
        <v>14</v>
      </c>
      <c r="E8" s="20">
        <v>144026.57999999999</v>
      </c>
    </row>
    <row r="9" spans="1:5" x14ac:dyDescent="0.3">
      <c r="D9" s="18" t="s">
        <v>15</v>
      </c>
      <c r="E9" s="20">
        <v>103833.49</v>
      </c>
    </row>
    <row r="10" spans="1:5" x14ac:dyDescent="0.3">
      <c r="A10" s="13" t="s">
        <v>64</v>
      </c>
      <c r="B10" s="15">
        <f>B6/B4</f>
        <v>1.0146308827282231</v>
      </c>
      <c r="D10" s="18" t="s">
        <v>18</v>
      </c>
      <c r="E10" s="20">
        <v>97223.12999999999</v>
      </c>
    </row>
    <row r="11" spans="1:5" x14ac:dyDescent="0.3">
      <c r="D11" s="18" t="s">
        <v>59</v>
      </c>
      <c r="E11" s="20">
        <v>1000070.96</v>
      </c>
    </row>
    <row r="12" spans="1:5" x14ac:dyDescent="0.3">
      <c r="A12" s="13" t="s">
        <v>65</v>
      </c>
      <c r="B12" s="16">
        <f>COUNTIF(Analysis!P3:P8,"&gt;1")</f>
        <v>4</v>
      </c>
    </row>
    <row r="14" spans="1:5" x14ac:dyDescent="0.3">
      <c r="A14" s="13" t="s">
        <v>66</v>
      </c>
      <c r="B14" s="16">
        <f>COUNTIF(Analysis!P3:P8,"&lt;1")</f>
        <v>2</v>
      </c>
    </row>
    <row r="16" spans="1:5" x14ac:dyDescent="0.3">
      <c r="A16" s="12" t="s">
        <v>67</v>
      </c>
      <c r="D16" s="17" t="s">
        <v>68</v>
      </c>
      <c r="E16" t="s">
        <v>69</v>
      </c>
    </row>
    <row r="17" spans="4:5" x14ac:dyDescent="0.3">
      <c r="D17" s="18" t="s">
        <v>1</v>
      </c>
      <c r="E17" s="20">
        <v>91217.99</v>
      </c>
    </row>
    <row r="18" spans="4:5" x14ac:dyDescent="0.3">
      <c r="D18" s="18" t="s">
        <v>2</v>
      </c>
      <c r="E18" s="20">
        <v>78469.17</v>
      </c>
    </row>
    <row r="19" spans="4:5" x14ac:dyDescent="0.3">
      <c r="D19" s="18" t="s">
        <v>3</v>
      </c>
      <c r="E19" s="20">
        <v>81200.42</v>
      </c>
    </row>
    <row r="20" spans="4:5" x14ac:dyDescent="0.3">
      <c r="D20" s="18" t="s">
        <v>4</v>
      </c>
      <c r="E20" s="20">
        <v>76910.430000000008</v>
      </c>
    </row>
    <row r="21" spans="4:5" x14ac:dyDescent="0.3">
      <c r="D21" s="18" t="s">
        <v>5</v>
      </c>
      <c r="E21" s="20">
        <v>86679.24</v>
      </c>
    </row>
    <row r="22" spans="4:5" x14ac:dyDescent="0.3">
      <c r="D22" s="18" t="s">
        <v>6</v>
      </c>
      <c r="E22" s="20">
        <v>76599.28</v>
      </c>
    </row>
    <row r="23" spans="4:5" x14ac:dyDescent="0.3">
      <c r="D23" s="18" t="s">
        <v>7</v>
      </c>
      <c r="E23" s="20">
        <v>85201.469999999987</v>
      </c>
    </row>
    <row r="24" spans="4:5" x14ac:dyDescent="0.3">
      <c r="D24" s="18" t="s">
        <v>8</v>
      </c>
      <c r="E24" s="20">
        <v>86097.74</v>
      </c>
    </row>
    <row r="25" spans="4:5" x14ac:dyDescent="0.3">
      <c r="D25" s="18" t="s">
        <v>9</v>
      </c>
      <c r="E25" s="20">
        <v>83988.88</v>
      </c>
    </row>
    <row r="26" spans="4:5" x14ac:dyDescent="0.3">
      <c r="D26" s="18" t="s">
        <v>10</v>
      </c>
      <c r="E26" s="20">
        <v>85879.75</v>
      </c>
    </row>
    <row r="27" spans="4:5" x14ac:dyDescent="0.3">
      <c r="D27" s="18" t="s">
        <v>11</v>
      </c>
      <c r="E27" s="20">
        <v>83675.22</v>
      </c>
    </row>
    <row r="28" spans="4:5" x14ac:dyDescent="0.3">
      <c r="D28" s="18" t="s">
        <v>12</v>
      </c>
      <c r="E28" s="20">
        <v>84151.37</v>
      </c>
    </row>
    <row r="29" spans="4:5" x14ac:dyDescent="0.3">
      <c r="D29" s="18" t="s">
        <v>59</v>
      </c>
      <c r="E29" s="20">
        <v>1000070.96</v>
      </c>
    </row>
    <row r="31" spans="4:5" x14ac:dyDescent="0.3">
      <c r="D31" s="17" t="s">
        <v>68</v>
      </c>
      <c r="E31" t="s">
        <v>69</v>
      </c>
    </row>
    <row r="32" spans="4:5" x14ac:dyDescent="0.3">
      <c r="D32" s="18" t="s">
        <v>26</v>
      </c>
      <c r="E32" s="19">
        <v>107037.47000000002</v>
      </c>
    </row>
    <row r="33" spans="4:5" x14ac:dyDescent="0.3">
      <c r="D33" s="18" t="s">
        <v>30</v>
      </c>
      <c r="E33" s="19">
        <v>94218.010000000009</v>
      </c>
    </row>
    <row r="34" spans="4:5" x14ac:dyDescent="0.3">
      <c r="D34" s="18" t="s">
        <v>28</v>
      </c>
      <c r="E34" s="19">
        <v>81386.880000000005</v>
      </c>
    </row>
    <row r="35" spans="4:5" x14ac:dyDescent="0.3">
      <c r="D35" s="18" t="s">
        <v>32</v>
      </c>
      <c r="E35" s="19">
        <v>76661.48</v>
      </c>
    </row>
    <row r="36" spans="4:5" x14ac:dyDescent="0.3">
      <c r="D36" s="18" t="s">
        <v>49</v>
      </c>
      <c r="E36" s="19">
        <v>64140.539999999994</v>
      </c>
    </row>
    <row r="37" spans="4:5" x14ac:dyDescent="0.3">
      <c r="D37" s="18" t="s">
        <v>45</v>
      </c>
      <c r="E37" s="19">
        <v>61316.55</v>
      </c>
    </row>
    <row r="38" spans="4:5" x14ac:dyDescent="0.3">
      <c r="D38" s="18" t="s">
        <v>36</v>
      </c>
      <c r="E38" s="19">
        <v>60620.450000000004</v>
      </c>
    </row>
    <row r="39" spans="4:5" x14ac:dyDescent="0.3">
      <c r="D39" s="18" t="s">
        <v>37</v>
      </c>
      <c r="E39" s="19">
        <v>56269.120000000003</v>
      </c>
    </row>
    <row r="40" spans="4:5" x14ac:dyDescent="0.3">
      <c r="D40" s="18" t="s">
        <v>44</v>
      </c>
      <c r="E40" s="19">
        <v>50582.38</v>
      </c>
    </row>
    <row r="41" spans="4:5" x14ac:dyDescent="0.3">
      <c r="D41" s="18" t="s">
        <v>35</v>
      </c>
      <c r="E41" s="19">
        <v>49013.38</v>
      </c>
    </row>
    <row r="42" spans="4:5" x14ac:dyDescent="0.3">
      <c r="D42" s="18" t="s">
        <v>31</v>
      </c>
      <c r="E42" s="20">
        <v>34952.39</v>
      </c>
    </row>
    <row r="43" spans="4:5" x14ac:dyDescent="0.3">
      <c r="D43" s="18" t="s">
        <v>41</v>
      </c>
      <c r="E43" s="19">
        <v>32936.380000000005</v>
      </c>
    </row>
    <row r="44" spans="4:5" x14ac:dyDescent="0.3">
      <c r="D44" s="18" t="s">
        <v>47</v>
      </c>
      <c r="E44" s="19">
        <v>32824.04</v>
      </c>
    </row>
    <row r="45" spans="4:5" x14ac:dyDescent="0.3">
      <c r="D45" s="18" t="s">
        <v>24</v>
      </c>
      <c r="E45" s="19">
        <v>32336.159999999996</v>
      </c>
    </row>
    <row r="46" spans="4:5" x14ac:dyDescent="0.3">
      <c r="D46" s="18" t="s">
        <v>34</v>
      </c>
      <c r="E46" s="19">
        <v>30563.45</v>
      </c>
    </row>
    <row r="47" spans="4:5" x14ac:dyDescent="0.3">
      <c r="D47" s="18" t="s">
        <v>46</v>
      </c>
      <c r="E47" s="19">
        <v>30257.09</v>
      </c>
    </row>
    <row r="48" spans="4:5" x14ac:dyDescent="0.3">
      <c r="D48" s="18" t="s">
        <v>40</v>
      </c>
      <c r="E48" s="19">
        <v>25447.749999999996</v>
      </c>
    </row>
    <row r="49" spans="4:5" x14ac:dyDescent="0.3">
      <c r="D49" s="18" t="s">
        <v>50</v>
      </c>
      <c r="E49" s="19">
        <v>25164.21</v>
      </c>
    </row>
    <row r="50" spans="4:5" x14ac:dyDescent="0.3">
      <c r="D50" s="18" t="s">
        <v>51</v>
      </c>
      <c r="E50" s="19">
        <v>20037.080000000002</v>
      </c>
    </row>
    <row r="51" spans="4:5" x14ac:dyDescent="0.3">
      <c r="D51" s="18" t="s">
        <v>42</v>
      </c>
      <c r="E51" s="19">
        <v>17837.07</v>
      </c>
    </row>
    <row r="52" spans="4:5" x14ac:dyDescent="0.3">
      <c r="D52" s="18" t="s">
        <v>53</v>
      </c>
      <c r="E52" s="19">
        <v>8409.2000000000007</v>
      </c>
    </row>
    <row r="53" spans="4:5" x14ac:dyDescent="0.3">
      <c r="D53" s="18" t="s">
        <v>52</v>
      </c>
      <c r="E53" s="19">
        <v>8059.88</v>
      </c>
    </row>
    <row r="54" spans="4:5" x14ac:dyDescent="0.3">
      <c r="D54" s="18" t="s">
        <v>59</v>
      </c>
      <c r="E54" s="19">
        <v>1000070.96</v>
      </c>
    </row>
  </sheetData>
  <pageMargins left="0.75" right="0.75" top="1" bottom="1" header="0.5" footer="0.5"/>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Budget Plan</vt:lpstr>
      <vt:lpstr>Raw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Purti Ladani</cp:lastModifiedBy>
  <dcterms:created xsi:type="dcterms:W3CDTF">2026-04-30T15:45:57Z</dcterms:created>
  <dcterms:modified xsi:type="dcterms:W3CDTF">2026-05-03T16:11:30Z</dcterms:modified>
</cp:coreProperties>
</file>