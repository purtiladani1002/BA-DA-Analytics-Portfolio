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c9d803149cbaa5af/Desktop/MPM/"/>
    </mc:Choice>
  </mc:AlternateContent>
  <xr:revisionPtr revIDLastSave="0" documentId="8_{39097B77-1628-444A-8FBA-722FB3B1A75C}" xr6:coauthVersionLast="47" xr6:coauthVersionMax="47" xr10:uidLastSave="{00000000-0000-0000-0000-000000000000}"/>
  <bookViews>
    <workbookView xWindow="-108" yWindow="-108" windowWidth="23256" windowHeight="12456" firstSheet="2" activeTab="3" xr2:uid="{00000000-000D-0000-FFFF-FFFF00000000}"/>
  </bookViews>
  <sheets>
    <sheet name="Raw Data" sheetId="1" r:id="rId1"/>
    <sheet name="Lookup Tables" sheetId="2" r:id="rId2"/>
    <sheet name="Pivot Analysis" sheetId="3" r:id="rId3"/>
    <sheet name="Dashboard" sheetId="4" r:id="rId4"/>
  </sheets>
  <definedNames>
    <definedName name="Slicer_Month">#N/A</definedName>
    <definedName name="Slicer_Region">#N/A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3" l="1"/>
  <c r="E11" i="3"/>
  <c r="E14" i="3"/>
  <c r="E12" i="3"/>
  <c r="E16" i="3"/>
  <c r="E13" i="3"/>
  <c r="B13" i="4"/>
  <c r="B11" i="4"/>
  <c r="B9" i="4"/>
  <c r="B7" i="4"/>
  <c r="B5" i="4"/>
  <c r="B3" i="4"/>
  <c r="M101" i="1"/>
  <c r="L101" i="1"/>
  <c r="K101" i="1"/>
  <c r="M100" i="1"/>
  <c r="L100" i="1"/>
  <c r="K100" i="1"/>
  <c r="M99" i="1"/>
  <c r="L99" i="1"/>
  <c r="K99" i="1"/>
  <c r="M98" i="1"/>
  <c r="L98" i="1"/>
  <c r="K98" i="1"/>
  <c r="M97" i="1"/>
  <c r="L97" i="1"/>
  <c r="K97" i="1"/>
  <c r="M96" i="1"/>
  <c r="L96" i="1"/>
  <c r="K96" i="1"/>
  <c r="M95" i="1"/>
  <c r="L95" i="1"/>
  <c r="K95" i="1"/>
  <c r="M94" i="1"/>
  <c r="L94" i="1"/>
  <c r="K94" i="1"/>
  <c r="M93" i="1"/>
  <c r="L93" i="1"/>
  <c r="K93" i="1"/>
  <c r="M92" i="1"/>
  <c r="L92" i="1"/>
  <c r="K92" i="1"/>
  <c r="M91" i="1"/>
  <c r="L91" i="1"/>
  <c r="K91" i="1"/>
  <c r="M90" i="1"/>
  <c r="L90" i="1"/>
  <c r="K90" i="1"/>
  <c r="M89" i="1"/>
  <c r="L89" i="1"/>
  <c r="K89" i="1"/>
  <c r="M88" i="1"/>
  <c r="L88" i="1"/>
  <c r="K88" i="1"/>
  <c r="M87" i="1"/>
  <c r="L87" i="1"/>
  <c r="K87" i="1"/>
  <c r="M86" i="1"/>
  <c r="L86" i="1"/>
  <c r="K86" i="1"/>
  <c r="M85" i="1"/>
  <c r="L85" i="1"/>
  <c r="K85" i="1"/>
  <c r="M84" i="1"/>
  <c r="L84" i="1"/>
  <c r="K84" i="1"/>
  <c r="M83" i="1"/>
  <c r="L83" i="1"/>
  <c r="K83" i="1"/>
  <c r="M82" i="1"/>
  <c r="L82" i="1"/>
  <c r="K82" i="1"/>
  <c r="M81" i="1"/>
  <c r="L81" i="1"/>
  <c r="K81" i="1"/>
  <c r="M80" i="1"/>
  <c r="L80" i="1"/>
  <c r="K80" i="1"/>
  <c r="M79" i="1"/>
  <c r="L79" i="1"/>
  <c r="K79" i="1"/>
  <c r="M78" i="1"/>
  <c r="L78" i="1"/>
  <c r="K78" i="1"/>
  <c r="M77" i="1"/>
  <c r="L77" i="1"/>
  <c r="K77" i="1"/>
  <c r="M76" i="1"/>
  <c r="L76" i="1"/>
  <c r="K76" i="1"/>
  <c r="M75" i="1"/>
  <c r="L75" i="1"/>
  <c r="K75" i="1"/>
  <c r="M74" i="1"/>
  <c r="L74" i="1"/>
  <c r="K74" i="1"/>
  <c r="M73" i="1"/>
  <c r="L73" i="1"/>
  <c r="K73" i="1"/>
  <c r="M72" i="1"/>
  <c r="L72" i="1"/>
  <c r="K72" i="1"/>
  <c r="M71" i="1"/>
  <c r="L71" i="1"/>
  <c r="K71" i="1"/>
  <c r="M70" i="1"/>
  <c r="L70" i="1"/>
  <c r="K70" i="1"/>
  <c r="M69" i="1"/>
  <c r="L69" i="1"/>
  <c r="K69" i="1"/>
  <c r="M68" i="1"/>
  <c r="L68" i="1"/>
  <c r="K68" i="1"/>
  <c r="M67" i="1"/>
  <c r="L67" i="1"/>
  <c r="K67" i="1"/>
  <c r="M66" i="1"/>
  <c r="L66" i="1"/>
  <c r="K66" i="1"/>
  <c r="M65" i="1"/>
  <c r="L65" i="1"/>
  <c r="K65" i="1"/>
  <c r="M64" i="1"/>
  <c r="L64" i="1"/>
  <c r="K64" i="1"/>
  <c r="M63" i="1"/>
  <c r="L63" i="1"/>
  <c r="K63" i="1"/>
  <c r="M62" i="1"/>
  <c r="L62" i="1"/>
  <c r="K62" i="1"/>
  <c r="M61" i="1"/>
  <c r="L61" i="1"/>
  <c r="K61" i="1"/>
  <c r="M60" i="1"/>
  <c r="L60" i="1"/>
  <c r="K60" i="1"/>
  <c r="M59" i="1"/>
  <c r="L59" i="1"/>
  <c r="K59" i="1"/>
  <c r="M58" i="1"/>
  <c r="L58" i="1"/>
  <c r="K58" i="1"/>
  <c r="M57" i="1"/>
  <c r="L57" i="1"/>
  <c r="K57" i="1"/>
  <c r="M56" i="1"/>
  <c r="L56" i="1"/>
  <c r="K56" i="1"/>
  <c r="M55" i="1"/>
  <c r="L55" i="1"/>
  <c r="K55" i="1"/>
  <c r="M54" i="1"/>
  <c r="L54" i="1"/>
  <c r="K54" i="1"/>
  <c r="M53" i="1"/>
  <c r="L53" i="1"/>
  <c r="K53" i="1"/>
  <c r="M52" i="1"/>
  <c r="L52" i="1"/>
  <c r="K52" i="1"/>
  <c r="M51" i="1"/>
  <c r="L51" i="1"/>
  <c r="K51" i="1"/>
  <c r="M50" i="1"/>
  <c r="L50" i="1"/>
  <c r="K50" i="1"/>
  <c r="M49" i="1"/>
  <c r="L49" i="1"/>
  <c r="K49" i="1"/>
  <c r="M48" i="1"/>
  <c r="L48" i="1"/>
  <c r="K48" i="1"/>
  <c r="M47" i="1"/>
  <c r="L47" i="1"/>
  <c r="K47" i="1"/>
  <c r="M46" i="1"/>
  <c r="L46" i="1"/>
  <c r="K46" i="1"/>
  <c r="M45" i="1"/>
  <c r="L45" i="1"/>
  <c r="K45" i="1"/>
  <c r="M44" i="1"/>
  <c r="L44" i="1"/>
  <c r="K44" i="1"/>
  <c r="M43" i="1"/>
  <c r="L43" i="1"/>
  <c r="K43" i="1"/>
  <c r="M42" i="1"/>
  <c r="L42" i="1"/>
  <c r="K42" i="1"/>
  <c r="M41" i="1"/>
  <c r="L41" i="1"/>
  <c r="K41" i="1"/>
  <c r="M40" i="1"/>
  <c r="L40" i="1"/>
  <c r="K40" i="1"/>
  <c r="M39" i="1"/>
  <c r="L39" i="1"/>
  <c r="K39" i="1"/>
  <c r="M38" i="1"/>
  <c r="L38" i="1"/>
  <c r="K38" i="1"/>
  <c r="M37" i="1"/>
  <c r="L37" i="1"/>
  <c r="K37" i="1"/>
  <c r="M36" i="1"/>
  <c r="L36" i="1"/>
  <c r="K36" i="1"/>
  <c r="M35" i="1"/>
  <c r="L35" i="1"/>
  <c r="K35" i="1"/>
  <c r="M34" i="1"/>
  <c r="L34" i="1"/>
  <c r="K34" i="1"/>
  <c r="M33" i="1"/>
  <c r="L33" i="1"/>
  <c r="K33" i="1"/>
  <c r="M32" i="1"/>
  <c r="L32" i="1"/>
  <c r="K32" i="1"/>
  <c r="M31" i="1"/>
  <c r="L31" i="1"/>
  <c r="K31" i="1"/>
  <c r="M30" i="1"/>
  <c r="L30" i="1"/>
  <c r="K30" i="1"/>
  <c r="M29" i="1"/>
  <c r="L29" i="1"/>
  <c r="K29" i="1"/>
  <c r="M28" i="1"/>
  <c r="L28" i="1"/>
  <c r="K28" i="1"/>
  <c r="M27" i="1"/>
  <c r="L27" i="1"/>
  <c r="K27" i="1"/>
  <c r="M26" i="1"/>
  <c r="L26" i="1"/>
  <c r="K26" i="1"/>
  <c r="M25" i="1"/>
  <c r="L25" i="1"/>
  <c r="K25" i="1"/>
  <c r="M24" i="1"/>
  <c r="L24" i="1"/>
  <c r="K24" i="1"/>
  <c r="M23" i="1"/>
  <c r="L23" i="1"/>
  <c r="K23" i="1"/>
  <c r="M22" i="1"/>
  <c r="L22" i="1"/>
  <c r="K22" i="1"/>
  <c r="M21" i="1"/>
  <c r="L21" i="1"/>
  <c r="K21" i="1"/>
  <c r="M20" i="1"/>
  <c r="L20" i="1"/>
  <c r="K20" i="1"/>
  <c r="M19" i="1"/>
  <c r="L19" i="1"/>
  <c r="K19" i="1"/>
  <c r="M18" i="1"/>
  <c r="L18" i="1"/>
  <c r="K18" i="1"/>
  <c r="M17" i="1"/>
  <c r="L17" i="1"/>
  <c r="K17" i="1"/>
  <c r="M16" i="1"/>
  <c r="L16" i="1"/>
  <c r="K16" i="1"/>
  <c r="M15" i="1"/>
  <c r="L15" i="1"/>
  <c r="K15" i="1"/>
  <c r="M14" i="1"/>
  <c r="L14" i="1"/>
  <c r="K14" i="1"/>
  <c r="M13" i="1"/>
  <c r="L13" i="1"/>
  <c r="K13" i="1"/>
  <c r="M12" i="1"/>
  <c r="L12" i="1"/>
  <c r="K12" i="1"/>
  <c r="M11" i="1"/>
  <c r="L11" i="1"/>
  <c r="K11" i="1"/>
  <c r="M10" i="1"/>
  <c r="L10" i="1"/>
  <c r="K10" i="1"/>
  <c r="M9" i="1"/>
  <c r="L9" i="1"/>
  <c r="K9" i="1"/>
  <c r="M8" i="1"/>
  <c r="L8" i="1"/>
  <c r="K8" i="1"/>
  <c r="M7" i="1"/>
  <c r="L7" i="1"/>
  <c r="K7" i="1"/>
  <c r="M6" i="1"/>
  <c r="L6" i="1"/>
  <c r="K6" i="1"/>
  <c r="M5" i="1"/>
  <c r="L5" i="1"/>
  <c r="K5" i="1"/>
  <c r="M4" i="1"/>
  <c r="L4" i="1"/>
  <c r="K4" i="1"/>
  <c r="M3" i="1"/>
  <c r="L3" i="1"/>
  <c r="K3" i="1"/>
  <c r="M2" i="1"/>
  <c r="L2" i="1"/>
  <c r="K2" i="1"/>
</calcChain>
</file>

<file path=xl/sharedStrings.xml><?xml version="1.0" encoding="utf-8"?>
<sst xmlns="http://schemas.openxmlformats.org/spreadsheetml/2006/main" count="584" uniqueCount="166">
  <si>
    <t>Order ID</t>
  </si>
  <si>
    <t>Date</t>
  </si>
  <si>
    <t>Salesperson</t>
  </si>
  <si>
    <t>Region</t>
  </si>
  <si>
    <t>Product</t>
  </si>
  <si>
    <t>Category</t>
  </si>
  <si>
    <t>Units Sold</t>
  </si>
  <si>
    <t>Unit Price</t>
  </si>
  <si>
    <t>Total Sales</t>
  </si>
  <si>
    <t>Target</t>
  </si>
  <si>
    <t>Month</t>
  </si>
  <si>
    <t>Variance</t>
  </si>
  <si>
    <t>Status</t>
  </si>
  <si>
    <t>ORD-1001</t>
  </si>
  <si>
    <t>Brian Chen</t>
  </si>
  <si>
    <t>North</t>
  </si>
  <si>
    <t>Monitor</t>
  </si>
  <si>
    <t>Electronics</t>
  </si>
  <si>
    <t>ORD-1002</t>
  </si>
  <si>
    <t>Alice Morgan</t>
  </si>
  <si>
    <t>South</t>
  </si>
  <si>
    <t>Planner</t>
  </si>
  <si>
    <t>Stationery</t>
  </si>
  <si>
    <t>ORD-1003</t>
  </si>
  <si>
    <t>Ethan Brooks</t>
  </si>
  <si>
    <t>West</t>
  </si>
  <si>
    <t>ORD-1004</t>
  </si>
  <si>
    <t>Notebook</t>
  </si>
  <si>
    <t>ORD-1005</t>
  </si>
  <si>
    <t>Diana Patel</t>
  </si>
  <si>
    <t>Headphones</t>
  </si>
  <si>
    <t>Accessories</t>
  </si>
  <si>
    <t>ORD-1006</t>
  </si>
  <si>
    <t>Webcam</t>
  </si>
  <si>
    <t>ORD-1007</t>
  </si>
  <si>
    <t>Carlos Rivera</t>
  </si>
  <si>
    <t>ORD-1008</t>
  </si>
  <si>
    <t>ORD-1009</t>
  </si>
  <si>
    <t>Keyboard</t>
  </si>
  <si>
    <t>ORD-1010</t>
  </si>
  <si>
    <t>ORD-1011</t>
  </si>
  <si>
    <t>ORD-1012</t>
  </si>
  <si>
    <t>East</t>
  </si>
  <si>
    <t>Laptop</t>
  </si>
  <si>
    <t>ORD-1013</t>
  </si>
  <si>
    <t>ORD-1014</t>
  </si>
  <si>
    <t>ORD-1015</t>
  </si>
  <si>
    <t>Standing Desk</t>
  </si>
  <si>
    <t>Furniture</t>
  </si>
  <si>
    <t>ORD-1016</t>
  </si>
  <si>
    <t>Desk Chair</t>
  </si>
  <si>
    <t>ORD-1017</t>
  </si>
  <si>
    <t>ORD-1018</t>
  </si>
  <si>
    <t>ORD-1019</t>
  </si>
  <si>
    <t>ORD-1020</t>
  </si>
  <si>
    <t>ORD-1021</t>
  </si>
  <si>
    <t>ORD-1022</t>
  </si>
  <si>
    <t>ORD-1023</t>
  </si>
  <si>
    <t>ORD-1024</t>
  </si>
  <si>
    <t>ORD-1025</t>
  </si>
  <si>
    <t>USB Hub</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</si>
  <si>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</si>
  <si>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</si>
  <si>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</si>
  <si>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</si>
  <si>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</si>
  <si>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</si>
  <si>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</si>
  <si>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</si>
  <si>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</si>
  <si>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</si>
  <si>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</si>
  <si>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</si>
  <si>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</si>
  <si>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</si>
  <si>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</si>
  <si>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</si>
  <si>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</si>
  <si>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</si>
  <si>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</si>
  <si>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</si>
  <si>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</si>
  <si>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</si>
  <si>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</si>
  <si>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</si>
  <si>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</si>
  <si>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</si>
  <si>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</si>
  <si>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</si>
  <si>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</si>
  <si>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</si>
  <si>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</si>
  <si>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</si>
  <si>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</si>
  <si>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</si>
  <si>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</si>
  <si>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</si>
  <si>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</si>
  <si>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</si>
  <si>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</si>
  <si>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</si>
  <si>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</si>
  <si>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</si>
  <si>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</si>
  <si>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</si>
  <si>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</si>
  <si>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</si>
  <si>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</si>
  <si>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</si>
  <si>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</si>
  <si>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</si>
  <si>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</si>
  <si>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</si>
  <si>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</si>
  <si>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</si>
  <si>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</si>
  <si>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</si>
  <si>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</si>
  <si>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</si>
  <si>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</si>
  <si>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</si>
  <si>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</si>
  <si>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</si>
  <si>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</si>
  <si>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</si>
  <si>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</si>
  <si>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</si>
  <si>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</si>
  <si>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</si>
  <si>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</si>
  <si>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</si>
  <si>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</si>
  <si>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</si>
  <si>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</si>
  <si>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</si>
  <si>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</si>
  <si>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Salespersons</t>
  </si>
  <si>
    <t>Regions</t>
  </si>
  <si>
    <t>Categories</t>
  </si>
  <si>
    <t>Products</t>
  </si>
  <si>
    <t>📊 PIVOT ANALYSIS SHEET</t>
  </si>
  <si>
    <t>📈 SALES PERFORMANCE DASHBOARD</t>
  </si>
  <si>
    <t>Total Revenue</t>
  </si>
  <si>
    <t>Total Units Sold</t>
  </si>
  <si>
    <t>Total Target</t>
  </si>
  <si>
    <t>% Target Achieved</t>
  </si>
  <si>
    <t>Orders Met Target</t>
  </si>
  <si>
    <t>Orders Missed Target</t>
  </si>
  <si>
    <t>💡 Next Step: Insert charts from your Pivot Analysis sheet into this dashboard!</t>
  </si>
  <si>
    <t>Sum of Total Sales</t>
  </si>
  <si>
    <t>Row Labels</t>
  </si>
  <si>
    <t>Grand Total</t>
  </si>
  <si>
    <t>Sum of Target</t>
  </si>
  <si>
    <t>Apr 2024</t>
  </si>
  <si>
    <t>Aug 2024</t>
  </si>
  <si>
    <t>Dec 2024</t>
  </si>
  <si>
    <t>Feb 2024</t>
  </si>
  <si>
    <t>Jan 2024</t>
  </si>
  <si>
    <t>Jul 2024</t>
  </si>
  <si>
    <t>Jun 2024</t>
  </si>
  <si>
    <t>Mar 2024</t>
  </si>
  <si>
    <t>May 2024</t>
  </si>
  <si>
    <t>Nov 2024</t>
  </si>
  <si>
    <t>Oct 2024</t>
  </si>
  <si>
    <t>Sep 2024</t>
  </si>
  <si>
    <t>Prepared by : Purti Ladani |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</si>
</sst>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5" formatCode="dd\-mmm\-yyyy"/>
    <numFmt numFmtId="166" formatCode="\$#,##0.00"/>
    <numFmt numFmtId="167" formatCode="0.0%"/>
  </numFmts>
  <fonts count="9" x14ac:knownFonts="1">
    <font>
      <sz val="11"/>
      <color theme="1"/>
      <name val="Calibri"/>
      <family val="2"/>
      <scheme val="minor"/>
    </font>
    <font>
      <b/>
      <sz val="11"/>
      <color rgb="FFFFFFFF"/>
      <name val="Arial"/>
    </font>
    <font>
      <sz val="10"/>
      <name val="Arial"/>
    </font>
    <font>
      <b/>
      <sz val="14"/>
      <color rgb="FF1F4E79"/>
      <name val="Arial"/>
    </font>
    <font>
      <b/>
      <sz val="11"/>
      <color rgb="FF1F4E79"/>
      <name val="Arial"/>
    </font>
    <font>
      <b/>
      <sz val="16"/>
      <color rgb="FF1F4E79"/>
      <name val="Arial"/>
    </font>
    <font>
      <sz val="11"/>
      <name val="Arial"/>
    </font>
    <font>
      <i/>
      <sz val="10"/>
      <color rgb="FF7F7F7F"/>
      <name val="Arial"/>
    </font>
    <font>
      <sz val="11"/>
      <color theme="1"/>
      <name val="Calibri"/>
      <family val="2"/>
      <scheme val="minor"/>
    </font>
  </fonts>
  <fills count="7">
    <fill>
      <patternFill patternType="none"/>
    </fill>
    <fill>
      <patternFill patternType="gray125"/>
    </fill>
    <fill>
      <patternFill patternType="solid">
        <fgColor rgb="FF1F4E79"/>
      </patternFill>
    </fill>
    <fill>
      <patternFill patternType="solid">
        <fgColor rgb="FFEBF3FB"/>
      </patternFill>
    </fill>
    <fill>
      <patternFill patternType="solid">
        <fgColor rgb="FF375623"/>
      </patternFill>
    </fill>
    <fill>
      <patternFill patternType="solid">
        <fgColor rgb="FFE2EFDA"/>
      </patternFill>
    </fill>
    <fill>
      <patternFill patternType="solid">
        <fgColor rgb="FFDEEAF1"/>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8" fillId="0" borderId="0"/>
  </cellStyleXfs>
  <cellXfs count="23">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165" fontId="2" fillId="3" borderId="1" xfId="0" applyNumberFormat="1" applyFont="1" applyFill="1" applyBorder="1" applyAlignment="1">
      <alignment horizontal="center" vertical="center"/>
    </xf>
    <xf numFmtId="166" fontId="2" fillId="3" borderId="1" xfId="0" applyNumberFormat="1" applyFont="1" applyFill="1" applyBorder="1" applyAlignment="1">
      <alignment horizontal="center" vertical="center"/>
    </xf>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166" fontId="2" fillId="0" borderId="1" xfId="0" applyNumberFormat="1" applyFont="1" applyBorder="1" applyAlignment="1">
      <alignment horizontal="center" vertical="center"/>
    </xf>
    <xf numFmtId="0" fontId="1" fillId="4" borderId="0" xfId="0" applyFont="1" applyFill="1" applyAlignment="1">
      <alignment horizontal="center" vertical="center"/>
    </xf>
    <xf numFmtId="0" fontId="2" fillId="5" borderId="0" xfId="0" applyFont="1" applyFill="1" applyAlignment="1">
      <alignment horizontal="center" vertical="center"/>
    </xf>
    <xf numFmtId="0" fontId="2" fillId="0" borderId="0" xfId="0" applyFont="1" applyAlignment="1">
      <alignment horizontal="center" vertical="center"/>
    </xf>
    <xf numFmtId="0" fontId="3" fillId="0" borderId="0" xfId="0" applyFont="1"/>
    <xf numFmtId="0" fontId="5" fillId="0" borderId="0" xfId="0" applyFont="1"/>
    <xf numFmtId="0" fontId="4" fillId="6" borderId="0" xfId="0" applyFont="1" applyFill="1"/>
    <xf numFmtId="166" fontId="6" fillId="6" borderId="0" xfId="0" applyNumberFormat="1" applyFont="1" applyFill="1"/>
    <xf numFmtId="0" fontId="6" fillId="6" borderId="0" xfId="0" applyFont="1" applyFill="1"/>
    <xf numFmtId="167" fontId="6" fillId="6" borderId="0" xfId="0" applyNumberFormat="1" applyFont="1" applyFill="1"/>
    <xf numFmtId="0" fontId="7" fillId="0" borderId="0" xfId="0" applyFont="1"/>
    <xf numFmtId="166" fontId="0" fillId="0" borderId="0" xfId="0" applyNumberFormat="1"/>
    <xf numFmtId="0" fontId="0" fillId="0" borderId="0" xfId="0" pivotButton="1"/>
    <xf numFmtId="0" fontId="0" fillId="0" borderId="0" xfId="0" applyAlignment="1">
      <alignment horizontal="left"/>
    </xf>
    <xf numFmtId="44" fontId="0" fillId="0" borderId="0" xfId="0" applyNumberFormat="1"/>
    <xf numFmtId="4" fontId="0" fillId="0" borderId="0" xfId="0" applyNumberFormat="1"/>
  </cellXfs>
  <cellStyles count="2">
    <cellStyle name="Normal" xfId="0" builtinId="0"/>
    <cellStyle name="Style 1" xfId="1" xr:uid="{9F408795-8B82-4344-B2C5-9B748D6437DD}"/>
  </cellStyles>
  <dxfs count="16">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4" formatCode="#,##0.00"/>
    </dxf>
    <dxf>
      <numFmt numFmtId="34" formatCode="_-&quot;$&quot;* #,##0.00_-;\-&quot;$&quot;* #,##0.00_-;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[Sales_Performance_Tracker_PurtiLadani.xlsx]Pivot 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t>Sales by Region</a:t>
            </a:r>
          </a:p>
        </c:rich>
      </c:tx>
      <c:layout>
        <c:manualLayout>
          <c:xMode val="edge"/>
          <c:yMode val="edge"/>
          <c:x val="0.54321450906816759"/>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c:f>
              <c:strCache>
                <c:ptCount val="1"/>
                <c:pt idx="0">
                  <c:v>Sum of Total Sales</c:v>
                </c:pt>
              </c:strCache>
            </c:strRef>
          </c:tx>
          <c:spPr>
            <a:solidFill>
              <a:schemeClr val="accent1"/>
            </a:solidFill>
            <a:ln>
              <a:noFill/>
            </a:ln>
            <a:effectLst/>
          </c:spPr>
          <c:invertIfNegative val="0"/>
          <c:cat>
            <c:strRef>
              <c:f>'Pivot Analysis'!$A$3:$A$7</c:f>
              <c:strCache>
                <c:ptCount val="4"/>
                <c:pt idx="0">
                  <c:v>East</c:v>
                </c:pt>
                <c:pt idx="1">
                  <c:v>North</c:v>
                </c:pt>
                <c:pt idx="2">
                  <c:v>South</c:v>
                </c:pt>
                <c:pt idx="3">
                  <c:v>West</c:v>
                </c:pt>
              </c:strCache>
            </c:strRef>
          </c:cat>
          <c:val>
            <c:numRef>
              <c:f>'Pivot Analysis'!$B$3:$B$7</c:f>
              <c:numCache>
                <c:formatCode>\$#,##0.00</c:formatCode>
                <c:ptCount val="4"/>
                <c:pt idx="0">
                  <c:v>60808.759999999995</c:v>
                </c:pt>
                <c:pt idx="1">
                  <c:v>44717.640000000007</c:v>
                </c:pt>
                <c:pt idx="2">
                  <c:v>70150.76999999999</c:v>
                </c:pt>
                <c:pt idx="3">
                  <c:v>31129.53</c:v>
                </c:pt>
              </c:numCache>
            </c:numRef>
          </c:val>
          <c:extLst>
            <c:ext xmlns:c16="http://schemas.microsoft.com/office/drawing/2014/chart" uri="{C3380CC4-5D6E-409C-BE32-E72D297353CC}">
              <c16:uniqueId val="{00000000-7828-4D1E-BC49-C707CEBC7E1A}"/>
            </c:ext>
          </c:extLst>
        </c:ser>
        <c:ser>
          <c:idx val="1"/>
          <c:order val="1"/>
          <c:tx>
            <c:strRef>
              <c:f>'Pivot Analysis'!$C$2</c:f>
              <c:strCache>
                <c:ptCount val="1"/>
                <c:pt idx="0">
                  <c:v>Sum of Target</c:v>
                </c:pt>
              </c:strCache>
            </c:strRef>
          </c:tx>
          <c:spPr>
            <a:solidFill>
              <a:schemeClr val="accent2"/>
            </a:solidFill>
            <a:ln>
              <a:noFill/>
            </a:ln>
            <a:effectLst/>
          </c:spPr>
          <c:invertIfNegative val="0"/>
          <c:cat>
            <c:strRef>
              <c:f>'Pivot Analysis'!$A$3:$A$7</c:f>
              <c:strCache>
                <c:ptCount val="4"/>
                <c:pt idx="0">
                  <c:v>East</c:v>
                </c:pt>
                <c:pt idx="1">
                  <c:v>North</c:v>
                </c:pt>
                <c:pt idx="2">
                  <c:v>South</c:v>
                </c:pt>
                <c:pt idx="3">
                  <c:v>West</c:v>
                </c:pt>
              </c:strCache>
            </c:strRef>
          </c:cat>
          <c:val>
            <c:numRef>
              <c:f>'Pivot Analysis'!$C$3:$C$7</c:f>
              <c:numCache>
                <c:formatCode>\$#,##0.00</c:formatCode>
                <c:ptCount val="4"/>
                <c:pt idx="0">
                  <c:v>67255.299999999988</c:v>
                </c:pt>
                <c:pt idx="1">
                  <c:v>46095.75</c:v>
                </c:pt>
                <c:pt idx="2">
                  <c:v>79631.959999999977</c:v>
                </c:pt>
                <c:pt idx="3">
                  <c:v>32912.26</c:v>
                </c:pt>
              </c:numCache>
            </c:numRef>
          </c:val>
          <c:extLst>
            <c:ext xmlns:c16="http://schemas.microsoft.com/office/drawing/2014/chart" uri="{C3380CC4-5D6E-409C-BE32-E72D297353CC}">
              <c16:uniqueId val="{00000001-7828-4D1E-BC49-C707CEBC7E1A}"/>
            </c:ext>
          </c:extLst>
        </c:ser>
        <c:dLbls>
          <c:showLegendKey val="0"/>
          <c:showVal val="0"/>
          <c:showCatName val="0"/>
          <c:showSerName val="0"/>
          <c:showPercent val="0"/>
          <c:showBubbleSize val="0"/>
        </c:dLbls>
        <c:gapWidth val="182"/>
        <c:axId val="367020096"/>
        <c:axId val="367019136"/>
      </c:barChart>
      <c:catAx>
        <c:axId val="36702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019136"/>
        <c:crosses val="autoZero"/>
        <c:auto val="1"/>
        <c:lblAlgn val="ctr"/>
        <c:lblOffset val="100"/>
        <c:noMultiLvlLbl val="0"/>
      </c:catAx>
      <c:valAx>
        <c:axId val="36701913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02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[Sales_Performance_Tracker_PurtiLadani.xlsx]Pivot 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t>Salesperson Performance vs Target</a:t>
            </a:r>
            <a:endParaRPr lang="en-CA" b="1"/>
          </a:p>
        </c:rich>
      </c:tx>
      <c:layout>
        <c:manualLayout>
          <c:xMode val="edge"/>
          <c:yMode val="edge"/>
          <c:x val="0.45442943670502728"/>
          <c:y val="4.47166326431418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06252945729394"/>
          <c:y val="0.14695606464829758"/>
          <c:w val="0.61467738407699035"/>
          <c:h val="0.6076742490522018"/>
        </c:manualLayout>
      </c:layout>
      <c:barChart>
        <c:barDir val="col"/>
        <c:grouping val="clustered"/>
        <c:varyColors val="0"/>
        <c:ser>
          <c:idx val="0"/>
          <c:order val="0"/>
          <c:tx>
            <c:strRef>
              <c:f>'Pivot Analysis'!$B$10</c:f>
              <c:strCache>
                <c:ptCount val="1"/>
                <c:pt idx="0">
                  <c:v>Sum of Total Sales</c:v>
                </c:pt>
              </c:strCache>
            </c:strRef>
          </c:tx>
          <c:spPr>
            <a:solidFill>
              <a:schemeClr val="accent1"/>
            </a:solidFill>
            <a:ln>
              <a:noFill/>
            </a:ln>
            <a:effectLst/>
          </c:spPr>
          <c:invertIfNegative val="0"/>
          <c:cat>
            <c:strRef>
              <c:f>'Pivot Analysis'!$A$11:$A$16</c:f>
              <c:strCache>
                <c:ptCount val="5"/>
                <c:pt idx="0">
                  <c:v>Brian Chen</c:v>
                </c:pt>
                <c:pt idx="1">
                  <c:v>Diana Patel</c:v>
                </c:pt>
                <c:pt idx="2">
                  <c:v>Ethan Brooks</c:v>
                </c:pt>
                <c:pt idx="3">
                  <c:v>Carlos Rivera</c:v>
                </c:pt>
                <c:pt idx="4">
                  <c:v>Alice Morgan</c:v>
                </c:pt>
              </c:strCache>
            </c:strRef>
          </c:cat>
          <c:val>
            <c:numRef>
              <c:f>'Pivot Analysis'!$B$11:$B$16</c:f>
              <c:numCache>
                <c:formatCode>\$#,##0.00</c:formatCode>
                <c:ptCount val="5"/>
                <c:pt idx="0">
                  <c:v>50949.250000000007</c:v>
                </c:pt>
                <c:pt idx="1">
                  <c:v>48846.130000000005</c:v>
                </c:pt>
                <c:pt idx="2">
                  <c:v>39014.459999999992</c:v>
                </c:pt>
                <c:pt idx="3">
                  <c:v>37309.250000000007</c:v>
                </c:pt>
                <c:pt idx="4">
                  <c:v>30687.609999999993</c:v>
                </c:pt>
              </c:numCache>
            </c:numRef>
          </c:val>
          <c:extLst>
            <c:ext xmlns:c16="http://schemas.microsoft.com/office/drawing/2014/chart" uri="{C3380CC4-5D6E-409C-BE32-E72D297353CC}">
              <c16:uniqueId val="{00000000-BD96-4F21-A7FC-AC25C08E7F5E}"/>
            </c:ext>
          </c:extLst>
        </c:ser>
        <c:ser>
          <c:idx val="1"/>
          <c:order val="1"/>
          <c:tx>
            <c:strRef>
              <c:f>'Pivot Analysis'!$C$10</c:f>
              <c:strCache>
                <c:ptCount val="1"/>
                <c:pt idx="0">
                  <c:v>Sum of Target</c:v>
                </c:pt>
              </c:strCache>
            </c:strRef>
          </c:tx>
          <c:spPr>
            <a:solidFill>
              <a:schemeClr val="accent2"/>
            </a:solidFill>
            <a:ln>
              <a:noFill/>
            </a:ln>
            <a:effectLst/>
          </c:spPr>
          <c:invertIfNegative val="0"/>
          <c:cat>
            <c:strRef>
              <c:f>'Pivot Analysis'!$A$11:$A$16</c:f>
              <c:strCache>
                <c:ptCount val="5"/>
                <c:pt idx="0">
                  <c:v>Brian Chen</c:v>
                </c:pt>
                <c:pt idx="1">
                  <c:v>Diana Patel</c:v>
                </c:pt>
                <c:pt idx="2">
                  <c:v>Ethan Brooks</c:v>
                </c:pt>
                <c:pt idx="3">
                  <c:v>Carlos Rivera</c:v>
                </c:pt>
                <c:pt idx="4">
                  <c:v>Alice Morgan</c:v>
                </c:pt>
              </c:strCache>
            </c:strRef>
          </c:cat>
          <c:val>
            <c:numRef>
              <c:f>'Pivot Analysis'!$C$11:$C$16</c:f>
              <c:numCache>
                <c:formatCode>\$#,##0.00</c:formatCode>
                <c:ptCount val="5"/>
                <c:pt idx="0">
                  <c:v>55120.759999999995</c:v>
                </c:pt>
                <c:pt idx="1">
                  <c:v>54676.880000000005</c:v>
                </c:pt>
                <c:pt idx="2">
                  <c:v>38078.799999999996</c:v>
                </c:pt>
                <c:pt idx="3">
                  <c:v>43009.7</c:v>
                </c:pt>
                <c:pt idx="4">
                  <c:v>35009.130000000005</c:v>
                </c:pt>
              </c:numCache>
            </c:numRef>
          </c:val>
          <c:extLst>
            <c:ext xmlns:c16="http://schemas.microsoft.com/office/drawing/2014/chart" uri="{C3380CC4-5D6E-409C-BE32-E72D297353CC}">
              <c16:uniqueId val="{00000001-BD96-4F21-A7FC-AC25C08E7F5E}"/>
            </c:ext>
          </c:extLst>
        </c:ser>
        <c:dLbls>
          <c:showLegendKey val="0"/>
          <c:showVal val="0"/>
          <c:showCatName val="0"/>
          <c:showSerName val="0"/>
          <c:showPercent val="0"/>
          <c:showBubbleSize val="0"/>
        </c:dLbls>
        <c:gapWidth val="219"/>
        <c:overlap val="-27"/>
        <c:axId val="375976544"/>
        <c:axId val="467051616"/>
      </c:barChart>
      <c:catAx>
        <c:axId val="3759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51616"/>
        <c:crosses val="autoZero"/>
        <c:auto val="1"/>
        <c:lblAlgn val="ctr"/>
        <c:lblOffset val="100"/>
        <c:noMultiLvlLbl val="0"/>
      </c:catAx>
      <c:valAx>
        <c:axId val="4670516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9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[Sales_Performance_Tracker_PurtiLadani.xlsx]Pivot Analysis!PivotTable6</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CA" sz="1600" b="1" i="0" u="none" strike="noStrike" baseline="0"/>
              <a:t>Monthly Sales Trend vs Target</a:t>
            </a:r>
            <a:endParaRPr lang="en-CA"/>
          </a:p>
        </c:rich>
      </c:tx>
      <c:layout>
        <c:manualLayout>
          <c:xMode val="edge"/>
          <c:yMode val="edge"/>
          <c:x val="0.44796018199820831"/>
          <c:y val="3.570473734594786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3176953180254"/>
          <c:y val="0.21653715793740461"/>
          <c:w val="0.57329180222232701"/>
          <c:h val="0.58644628621860384"/>
        </c:manualLayout>
      </c:layout>
      <c:lineChart>
        <c:grouping val="standard"/>
        <c:varyColors val="0"/>
        <c:ser>
          <c:idx val="0"/>
          <c:order val="0"/>
          <c:tx>
            <c:strRef>
              <c:f>'Pivot Analysis'!$B$20</c:f>
              <c:strCache>
                <c:ptCount val="1"/>
                <c:pt idx="0">
                  <c:v>Sum of Total Sales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Analysis'!$A$21:$A$33</c:f>
              <c:strCache>
                <c:ptCount val="12"/>
                <c:pt idx="0">
                  <c:v>Apr 2024</c:v>
                </c:pt>
                <c:pt idx="1">
                  <c:v>Aug 2024</c:v>
                </c:pt>
                <c:pt idx="2">
                  <c:v>Dec 2024</c:v>
                </c:pt>
                <c:pt idx="3">
                  <c:v>Feb 2024</c:v>
                </c:pt>
                <c:pt idx="4">
                  <c:v>Jan 2024</c:v>
                </c:pt>
                <c:pt idx="5">
                  <c:v>Jul 2024</c:v>
                </c:pt>
                <c:pt idx="6">
                  <c:v>Jun 2024</c:v>
                </c:pt>
                <c:pt idx="7">
                  <c:v>Mar 2024</c:v>
                </c:pt>
                <c:pt idx="8">
                  <c:v>May 2024</c:v>
                </c:pt>
                <c:pt idx="9">
                  <c:v>Nov 2024</c:v>
                </c:pt>
                <c:pt idx="10">
                  <c:v>Oct 2024</c:v>
                </c:pt>
                <c:pt idx="11">
                  <c:v>Sep 2024</c:v>
                </c:pt>
              </c:strCache>
            </c:strRef>
          </c:cat>
          <c:val>
            <c:numRef>
              <c:f>'Pivot Analysis'!$B$21:$B$33</c:f>
              <c:numCache>
                <c:formatCode>\$#,##0.00</c:formatCode>
                <c:ptCount val="12"/>
                <c:pt idx="0">
                  <c:v>23867.989999999998</c:v>
                </c:pt>
                <c:pt idx="1">
                  <c:v>15833.38</c:v>
                </c:pt>
                <c:pt idx="2">
                  <c:v>24652.959999999999</c:v>
                </c:pt>
                <c:pt idx="3">
                  <c:v>16721.599999999999</c:v>
                </c:pt>
                <c:pt idx="4">
                  <c:v>6470.95</c:v>
                </c:pt>
                <c:pt idx="5">
                  <c:v>32656.930000000004</c:v>
                </c:pt>
                <c:pt idx="6">
                  <c:v>18423.689999999999</c:v>
                </c:pt>
                <c:pt idx="7">
                  <c:v>4291.67</c:v>
                </c:pt>
                <c:pt idx="8">
                  <c:v>11726.94</c:v>
                </c:pt>
                <c:pt idx="9">
                  <c:v>8042.74</c:v>
                </c:pt>
                <c:pt idx="10">
                  <c:v>18776.650000000001</c:v>
                </c:pt>
                <c:pt idx="11">
                  <c:v>25341.200000000001</c:v>
                </c:pt>
              </c:numCache>
            </c:numRef>
          </c:val>
          <c:smooth val="0"/>
          <c:extLst>
            <c:ext xmlns:c16="http://schemas.microsoft.com/office/drawing/2014/chart" uri="{C3380CC4-5D6E-409C-BE32-E72D297353CC}">
              <c16:uniqueId val="{00000000-19CE-4FD1-A179-069810C6CCDB}"/>
            </c:ext>
          </c:extLst>
        </c:ser>
        <c:ser>
          <c:idx val="1"/>
          <c:order val="1"/>
          <c:tx>
            <c:strRef>
              <c:f>'Pivot Analysis'!$C$20</c:f>
              <c:strCache>
                <c:ptCount val="1"/>
                <c:pt idx="0">
                  <c:v>Sum of Target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Analysis'!$A$21:$A$33</c:f>
              <c:strCache>
                <c:ptCount val="12"/>
                <c:pt idx="0">
                  <c:v>Apr 2024</c:v>
                </c:pt>
                <c:pt idx="1">
                  <c:v>Aug 2024</c:v>
                </c:pt>
                <c:pt idx="2">
                  <c:v>Dec 2024</c:v>
                </c:pt>
                <c:pt idx="3">
                  <c:v>Feb 2024</c:v>
                </c:pt>
                <c:pt idx="4">
                  <c:v>Jan 2024</c:v>
                </c:pt>
                <c:pt idx="5">
                  <c:v>Jul 2024</c:v>
                </c:pt>
                <c:pt idx="6">
                  <c:v>Jun 2024</c:v>
                </c:pt>
                <c:pt idx="7">
                  <c:v>Mar 2024</c:v>
                </c:pt>
                <c:pt idx="8">
                  <c:v>May 2024</c:v>
                </c:pt>
                <c:pt idx="9">
                  <c:v>Nov 2024</c:v>
                </c:pt>
                <c:pt idx="10">
                  <c:v>Oct 2024</c:v>
                </c:pt>
                <c:pt idx="11">
                  <c:v>Sep 2024</c:v>
                </c:pt>
              </c:strCache>
            </c:strRef>
          </c:cat>
          <c:val>
            <c:numRef>
              <c:f>'Pivot Analysis'!$C$21:$C$33</c:f>
              <c:numCache>
                <c:formatCode>\$#,##0.00</c:formatCode>
                <c:ptCount val="12"/>
                <c:pt idx="0">
                  <c:v>22786.93</c:v>
                </c:pt>
                <c:pt idx="1">
                  <c:v>17756.52</c:v>
                </c:pt>
                <c:pt idx="2">
                  <c:v>27500.739999999998</c:v>
                </c:pt>
                <c:pt idx="3">
                  <c:v>17632.009999999998</c:v>
                </c:pt>
                <c:pt idx="4">
                  <c:v>7201.8900000000012</c:v>
                </c:pt>
                <c:pt idx="5">
                  <c:v>36862.03</c:v>
                </c:pt>
                <c:pt idx="6">
                  <c:v>19648.769999999997</c:v>
                </c:pt>
                <c:pt idx="7">
                  <c:v>4903.26</c:v>
                </c:pt>
                <c:pt idx="8">
                  <c:v>11610.980000000001</c:v>
                </c:pt>
                <c:pt idx="9">
                  <c:v>8255.7500000000018</c:v>
                </c:pt>
                <c:pt idx="10">
                  <c:v>21401.67</c:v>
                </c:pt>
                <c:pt idx="11">
                  <c:v>30334.720000000001</c:v>
                </c:pt>
              </c:numCache>
            </c:numRef>
          </c:val>
          <c:smooth val="0"/>
          <c:extLst>
            <c:ext xmlns:c16="http://schemas.microsoft.com/office/drawing/2014/chart" uri="{C3380CC4-5D6E-409C-BE32-E72D297353CC}">
              <c16:uniqueId val="{00000001-19CE-4FD1-A179-069810C6CCDB}"/>
            </c:ext>
          </c:extLst>
        </c:ser>
        <c:dLbls>
          <c:showLegendKey val="0"/>
          <c:showVal val="0"/>
          <c:showCatName val="0"/>
          <c:showSerName val="0"/>
          <c:showPercent val="0"/>
          <c:showBubbleSize val="0"/>
        </c:dLbls>
        <c:marker val="1"/>
        <c:smooth val="0"/>
        <c:axId val="267945920"/>
        <c:axId val="267946400"/>
      </c:lineChart>
      <c:catAx>
        <c:axId val="267945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946400"/>
        <c:crosses val="autoZero"/>
        <c:auto val="1"/>
        <c:lblAlgn val="ctr"/>
        <c:lblOffset val="100"/>
        <c:noMultiLvlLbl val="0"/>
      </c:catAx>
      <c:valAx>
        <c:axId val="2679464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94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110490</xdr:rowOff>
    </xdr:from>
    <xdr:to>
      <xdr:col>5</xdr:col>
      <xdr:colOff>266241</xdr:colOff>
      <xdr:row>28</xdr:row>
      <xdr:rowOff>110490</xdr:rowOff>
    </xdr:to>
    <xdr:graphicFrame macro="">
      <xdr:nvGraphicFramePr>
        <xdr:cNvPr id="2" name="Chart 1">
          <a:extLst>
            <a:ext uri="{FF2B5EF4-FFF2-40B4-BE49-F238E27FC236}">
              <a16:creationId xmlns:a16="http://schemas.microsoft.com/office/drawing/2014/main" id="{D8FFB934-F631-9B2E-9092-553289803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284602</xdr:colOff>
      <xdr:row>13</xdr:row>
      <xdr:rowOff>95250</xdr:rowOff>
    </xdr:from>
    <xdr:to>
      <xdr:col>16</xdr:col>
      <xdr:colOff>91807</xdr:colOff>
      <xdr:row>28</xdr:row>
      <xdr:rowOff>129540</xdr:rowOff>
    </xdr:to>
    <xdr:graphicFrame macro="">
      <xdr:nvGraphicFramePr>
        <xdr:cNvPr id="3" name="Chart 2">
          <a:extLst>
            <a:ext uri="{FF2B5EF4-FFF2-40B4-BE49-F238E27FC236}">
              <a16:creationId xmlns:a16="http://schemas.microsoft.com/office/drawing/2014/main" id="{B8566524-E276-9362-BC23-031F00714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1226820</xdr:colOff>
      <xdr:row>29</xdr:row>
      <xdr:rowOff>171450</xdr:rowOff>
    </xdr:from>
    <xdr:to>
      <xdr:col>10</xdr:col>
      <xdr:colOff>174433</xdr:colOff>
      <xdr:row>48</xdr:row>
      <xdr:rowOff>175260</xdr:rowOff>
    </xdr:to>
    <xdr:graphicFrame macro="">
      <xdr:nvGraphicFramePr>
        <xdr:cNvPr id="4" name="Chart 3">
          <a:extLst>
            <a:ext uri="{FF2B5EF4-FFF2-40B4-BE49-F238E27FC236}">
              <a16:creationId xmlns:a16="http://schemas.microsoft.com/office/drawing/2014/main" id="{A05E2BBB-A0A8-3571-0C96-1717D2202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129540</xdr:colOff>
      <xdr:row>0</xdr:row>
      <xdr:rowOff>190500</xdr:rowOff>
    </xdr:from>
    <xdr:to>
      <xdr:col>11</xdr:col>
      <xdr:colOff>129540</xdr:colOff>
      <xdr:row>12</xdr:row>
      <xdr:rowOff>152400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58DC6329-2D45-8282-F6D5-B4A066C0F9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97893" y="190500"/>
              <a:ext cx="1837765" cy="220307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411480</xdr:colOff>
      <xdr:row>0</xdr:row>
      <xdr:rowOff>190499</xdr:rowOff>
    </xdr:from>
    <xdr:to>
      <xdr:col>14</xdr:col>
      <xdr:colOff>411480</xdr:colOff>
      <xdr:row>12</xdr:row>
      <xdr:rowOff>129540</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6D817301-BB84-9AB5-8A0C-C8DBC307DE3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017598" y="190499"/>
              <a:ext cx="1837764" cy="218021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ti Ladani" refreshedDate="46140.46573541667" createdVersion="8" refreshedVersion="8" minRefreshableVersion="3" recordCount="100" xr:uid="{8A2E7011-7885-47CB-A890-A57E094026DA}">
  <cacheSource type="worksheet">
    <worksheetSource ref="A1:M101" sheet="Raw Data"/>
  </cacheSource>
  <cacheFields count="13">
    <cacheField name="Order ID" numFmtId="0">
      <sharedItems/>
    </cacheField>
    <cacheField name="Date" numFmtId="165">
      <sharedItems containsSemiMixedTypes="0" containsNonDate="0" containsDate="1" containsString="0" minDate="2024-01-07T00:00:00" maxDate="2024-12-29T00:00:00"/>
    </cacheField>
    <cacheField name="Salesperson" numFmtId="0">
      <sharedItems count="5">
        <s v="Brian Chen"/>
        <s v="Alice Morgan"/>
        <s v="Ethan Brooks"/>
        <s v="Diana Patel"/>
        <s v="Carlos Rivera"/>
      </sharedItems>
    </cacheField>
    <cacheField name="Region" numFmtId="0">
      <sharedItems count="4">
        <s v="North"/>
        <s v="South"/>
        <s v="West"/>
        <s v="East"/>
      </sharedItems>
    </cacheField>
    <cacheField name="Product" numFmtId="0">
      <sharedItems/>
    </cacheField>
    <cacheField name="Category" numFmtId="0">
      <sharedItems/>
    </cacheField>
    <cacheField name="Units Sold" numFmtId="0">
      <sharedItems containsSemiMixedTypes="0" containsString="0" containsNumber="1" containsInteger="1" minValue="1" maxValue="20"/>
    </cacheField>
    <cacheField name="Unit Price" numFmtId="166">
      <sharedItems containsSemiMixedTypes="0" containsString="0" containsNumber="1" minValue="14" maxValue="974.38"/>
    </cacheField>
    <cacheField name="Total Sales" numFmtId="166">
      <sharedItems containsSemiMixedTypes="0" containsString="0" containsNumber="1" minValue="15.18" maxValue="12168.91"/>
    </cacheField>
    <cacheField name="Target" numFmtId="166">
      <sharedItems containsSemiMixedTypes="0" containsString="0" containsNumber="1" minValue="12.85" maxValue="13278.43"/>
    </cacheField>
    <cacheField name="Month" numFmtId="0">
      <sharedItems count="12">
        <s v="Nov 2024"/>
        <s v="Dec 2024"/>
        <s v="Apr 2024"/>
        <s v="Jun 2024"/>
        <s v="Jul 2024"/>
        <s v="Feb 2024"/>
        <s v="Mar 2024"/>
        <s v="Oct 2024"/>
        <s v="Aug 2024"/>
        <s v="Sep 2024"/>
        <s v="Jan 2024"/>
        <s v="May 2024"/>
      </sharedItems>
    </cacheField>
    <cacheField name="Variance" numFmtId="166">
      <sharedItems containsSemiMixedTypes="0" containsString="0" containsNumber="1" minValue="-2490.3500000000004" maxValue="804.71999999999935"/>
    </cacheField>
    <cacheField name="Status" numFmtId="0">
      <sharedItems/>
    </cacheField>
  </cacheFields>
  <extLst>
    <ext xmlns:x14="http://schemas.microsoft.com/office/spreadsheetml/2009/9/main" uri="{725AE2AE-9491-48be-B2B4-4EB974FC3084}">
      <x14:pivotCacheDefinition pivotCacheId="783653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1"/>
    <d v="2024-11-23T00:00:00"/>
    <x v="0"/>
    <x v="0"/>
    <s v="Monitor"/>
    <s v="Electronics"/>
    <n v="9"/>
    <n v="290"/>
    <n v="2610"/>
    <n v="2407.58"/>
    <x v="0"/>
    <n v="202.42000000000007"/>
    <s v="Met"/>
  </r>
  <r>
    <s v="ORD-1002"/>
    <d v="2024-12-12T00:00:00"/>
    <x v="1"/>
    <x v="1"/>
    <s v="Planner"/>
    <s v="Stationery"/>
    <n v="14"/>
    <n v="20.28"/>
    <n v="283.92"/>
    <n v="231.65"/>
    <x v="1"/>
    <n v="52.27000000000001"/>
    <s v="Met"/>
  </r>
  <r>
    <s v="ORD-1003"/>
    <d v="2024-04-29T00:00:00"/>
    <x v="2"/>
    <x v="2"/>
    <s v="Planner"/>
    <s v="Stationery"/>
    <n v="18"/>
    <n v="23.11"/>
    <n v="415.98"/>
    <n v="374.14"/>
    <x v="2"/>
    <n v="41.840000000000032"/>
    <s v="Met"/>
  </r>
  <r>
    <s v="ORD-1004"/>
    <d v="2024-04-22T00:00:00"/>
    <x v="0"/>
    <x v="2"/>
    <s v="Notebook"/>
    <s v="Stationery"/>
    <n v="1"/>
    <n v="15.71"/>
    <n v="15.71"/>
    <n v="18.53"/>
    <x v="2"/>
    <n v="-2.8200000000000003"/>
    <s v="Missed"/>
  </r>
  <r>
    <s v="ORD-1005"/>
    <d v="2024-06-23T00:00:00"/>
    <x v="3"/>
    <x v="0"/>
    <s v="Headphones"/>
    <s v="Accessories"/>
    <n v="11"/>
    <n v="112.66"/>
    <n v="1239.26"/>
    <n v="1054.74"/>
    <x v="3"/>
    <n v="184.51999999999998"/>
    <s v="Met"/>
  </r>
  <r>
    <s v="ORD-1006"/>
    <d v="2024-07-02T00:00:00"/>
    <x v="2"/>
    <x v="0"/>
    <s v="Webcam"/>
    <s v="Accessories"/>
    <n v="2"/>
    <n v="89.33"/>
    <n v="178.66"/>
    <n v="208.11"/>
    <x v="4"/>
    <n v="-29.450000000000017"/>
    <s v="Missed"/>
  </r>
  <r>
    <s v="ORD-1007"/>
    <d v="2024-07-12T00:00:00"/>
    <x v="4"/>
    <x v="1"/>
    <s v="Monitor"/>
    <s v="Electronics"/>
    <n v="20"/>
    <n v="332.16"/>
    <n v="6643.2"/>
    <n v="8255.68"/>
    <x v="4"/>
    <n v="-1612.4800000000005"/>
    <s v="Missed"/>
  </r>
  <r>
    <s v="ORD-1008"/>
    <d v="2024-12-26T00:00:00"/>
    <x v="1"/>
    <x v="1"/>
    <s v="Monitor"/>
    <s v="Electronics"/>
    <n v="8"/>
    <n v="291.67"/>
    <n v="2333.36"/>
    <n v="2768.61"/>
    <x v="1"/>
    <n v="-435.25"/>
    <s v="Missed"/>
  </r>
  <r>
    <s v="ORD-1009"/>
    <d v="2024-02-21T00:00:00"/>
    <x v="4"/>
    <x v="1"/>
    <s v="Keyboard"/>
    <s v="Accessories"/>
    <n v="12"/>
    <n v="63.02"/>
    <n v="756.24"/>
    <n v="666.49"/>
    <x v="5"/>
    <n v="89.75"/>
    <s v="Met"/>
  </r>
  <r>
    <s v="ORD-1010"/>
    <d v="2024-12-09T00:00:00"/>
    <x v="0"/>
    <x v="1"/>
    <s v="Headphones"/>
    <s v="Accessories"/>
    <n v="3"/>
    <n v="129.05000000000001"/>
    <n v="387.15"/>
    <n v="427.63"/>
    <x v="1"/>
    <n v="-40.480000000000018"/>
    <s v="Missed"/>
  </r>
  <r>
    <s v="ORD-1011"/>
    <d v="2024-03-24T00:00:00"/>
    <x v="4"/>
    <x v="0"/>
    <s v="Notebook"/>
    <s v="Stationery"/>
    <n v="18"/>
    <n v="14.92"/>
    <n v="268.56"/>
    <n v="244.34"/>
    <x v="6"/>
    <n v="24.22"/>
    <s v="Met"/>
  </r>
  <r>
    <s v="ORD-1012"/>
    <d v="2024-04-27T00:00:00"/>
    <x v="0"/>
    <x v="3"/>
    <s v="Laptop"/>
    <s v="Electronics"/>
    <n v="13"/>
    <n v="936.07"/>
    <n v="12168.91"/>
    <n v="11364.19"/>
    <x v="2"/>
    <n v="804.71999999999935"/>
    <s v="Met"/>
  </r>
  <r>
    <s v="ORD-1013"/>
    <d v="2024-04-18T00:00:00"/>
    <x v="0"/>
    <x v="1"/>
    <s v="Notebook"/>
    <s v="Stationery"/>
    <n v="15"/>
    <n v="14.98"/>
    <n v="224.7"/>
    <n v="195.81"/>
    <x v="2"/>
    <n v="28.889999999999986"/>
    <s v="Met"/>
  </r>
  <r>
    <s v="ORD-1014"/>
    <d v="2024-10-14T00:00:00"/>
    <x v="2"/>
    <x v="2"/>
    <s v="Planner"/>
    <s v="Stationery"/>
    <n v="19"/>
    <n v="21.25"/>
    <n v="403.75"/>
    <n v="409.49"/>
    <x v="7"/>
    <n v="-5.7400000000000091"/>
    <s v="Missed"/>
  </r>
  <r>
    <s v="ORD-1015"/>
    <d v="2024-07-04T00:00:00"/>
    <x v="1"/>
    <x v="0"/>
    <s v="Standing Desk"/>
    <s v="Furniture"/>
    <n v="5"/>
    <n v="517.20000000000005"/>
    <n v="2586"/>
    <n v="2727.62"/>
    <x v="4"/>
    <n v="-141.61999999999989"/>
    <s v="Missed"/>
  </r>
  <r>
    <s v="ORD-1016"/>
    <d v="2024-02-26T00:00:00"/>
    <x v="3"/>
    <x v="2"/>
    <s v="Desk Chair"/>
    <s v="Furniture"/>
    <n v="14"/>
    <n v="221.94"/>
    <n v="3107.16"/>
    <n v="3412.3"/>
    <x v="5"/>
    <n v="-305.14000000000033"/>
    <s v="Missed"/>
  </r>
  <r>
    <s v="ORD-1017"/>
    <d v="2024-11-01T00:00:00"/>
    <x v="1"/>
    <x v="0"/>
    <s v="Notebook"/>
    <s v="Stationery"/>
    <n v="18"/>
    <n v="15.48"/>
    <n v="278.64"/>
    <n v="342.84"/>
    <x v="0"/>
    <n v="-64.199999999999989"/>
    <s v="Missed"/>
  </r>
  <r>
    <s v="ORD-1018"/>
    <d v="2024-12-15T00:00:00"/>
    <x v="3"/>
    <x v="1"/>
    <s v="Planner"/>
    <s v="Stationery"/>
    <n v="11"/>
    <n v="23.93"/>
    <n v="263.23"/>
    <n v="225.27"/>
    <x v="1"/>
    <n v="37.960000000000008"/>
    <s v="Met"/>
  </r>
  <r>
    <s v="ORD-1019"/>
    <d v="2024-08-20T00:00:00"/>
    <x v="0"/>
    <x v="0"/>
    <s v="Laptop"/>
    <s v="Electronics"/>
    <n v="9"/>
    <n v="967.69"/>
    <n v="8709.2099999999991"/>
    <n v="11199.56"/>
    <x v="8"/>
    <n v="-2490.3500000000004"/>
    <s v="Missed"/>
  </r>
  <r>
    <s v="ORD-1020"/>
    <d v="2024-11-16T00:00:00"/>
    <x v="0"/>
    <x v="3"/>
    <s v="Headphones"/>
    <s v="Accessories"/>
    <n v="17"/>
    <n v="133.25"/>
    <n v="2265.25"/>
    <n v="2501.9299999999998"/>
    <x v="0"/>
    <n v="-236.67999999999984"/>
    <s v="Missed"/>
  </r>
  <r>
    <s v="ORD-1021"/>
    <d v="2024-03-23T00:00:00"/>
    <x v="2"/>
    <x v="3"/>
    <s v="Planner"/>
    <s v="Stationery"/>
    <n v="17"/>
    <n v="25.04"/>
    <n v="425.68"/>
    <n v="536.04"/>
    <x v="6"/>
    <n v="-110.35999999999996"/>
    <s v="Missed"/>
  </r>
  <r>
    <s v="ORD-1022"/>
    <d v="2024-09-07T00:00:00"/>
    <x v="4"/>
    <x v="1"/>
    <s v="Laptop"/>
    <s v="Electronics"/>
    <n v="12"/>
    <n v="788.77"/>
    <n v="9465.24"/>
    <n v="11730.85"/>
    <x v="9"/>
    <n v="-2265.6100000000006"/>
    <s v="Missed"/>
  </r>
  <r>
    <s v="ORD-1023"/>
    <d v="2024-01-30T00:00:00"/>
    <x v="3"/>
    <x v="0"/>
    <s v="Standing Desk"/>
    <s v="Furniture"/>
    <n v="3"/>
    <n v="503.78"/>
    <n v="1511.34"/>
    <n v="1273.8"/>
    <x v="10"/>
    <n v="237.53999999999996"/>
    <s v="Met"/>
  </r>
  <r>
    <s v="ORD-1024"/>
    <d v="2024-09-29T00:00:00"/>
    <x v="0"/>
    <x v="3"/>
    <s v="Desk Chair"/>
    <s v="Furniture"/>
    <n v="16"/>
    <n v="195.74"/>
    <n v="3131.84"/>
    <n v="3988.16"/>
    <x v="9"/>
    <n v="-856.31999999999971"/>
    <s v="Missed"/>
  </r>
  <r>
    <s v="ORD-1025"/>
    <d v="2024-09-27T00:00:00"/>
    <x v="0"/>
    <x v="3"/>
    <s v="USB Hub"/>
    <s v="Electronics"/>
    <n v="7"/>
    <n v="45.26"/>
    <n v="316.82"/>
    <n v="400.61"/>
    <x v="9"/>
    <n v="-83.79000000000002"/>
    <s v="Missed"/>
  </r>
  <r>
    <s v="ORD-1026"/>
    <d v="2024-07-23T00:00:00"/>
    <x v="0"/>
    <x v="1"/>
    <s v="Webcam"/>
    <s v="Accessories"/>
    <n v="17"/>
    <n v="85.81"/>
    <n v="1458.77"/>
    <n v="1496.32"/>
    <x v="4"/>
    <n v="-37.549999999999955"/>
    <s v="Missed"/>
  </r>
  <r>
    <s v="ORD-1027"/>
    <d v="2024-02-02T00:00:00"/>
    <x v="0"/>
    <x v="0"/>
    <s v="Webcam"/>
    <s v="Accessories"/>
    <n v="18"/>
    <n v="76.95"/>
    <n v="1385.1"/>
    <n v="1267.45"/>
    <x v="5"/>
    <n v="117.64999999999986"/>
    <s v="Met"/>
  </r>
  <r>
    <s v="ORD-1028"/>
    <d v="2024-02-06T00:00:00"/>
    <x v="1"/>
    <x v="1"/>
    <s v="Laptop"/>
    <s v="Electronics"/>
    <n v="2"/>
    <n v="813.65"/>
    <n v="1627.3"/>
    <n v="2001.28"/>
    <x v="5"/>
    <n v="-373.98"/>
    <s v="Missed"/>
  </r>
  <r>
    <s v="ORD-1029"/>
    <d v="2024-05-22T00:00:00"/>
    <x v="2"/>
    <x v="2"/>
    <s v="Notebook"/>
    <s v="Stationery"/>
    <n v="5"/>
    <n v="14.3"/>
    <n v="71.5"/>
    <n v="83.06"/>
    <x v="11"/>
    <n v="-11.560000000000002"/>
    <s v="Missed"/>
  </r>
  <r>
    <s v="ORD-1030"/>
    <d v="2024-05-04T00:00:00"/>
    <x v="3"/>
    <x v="3"/>
    <s v="Notebook"/>
    <s v="Stationery"/>
    <n v="7"/>
    <n v="16.53"/>
    <n v="115.71"/>
    <n v="98.03"/>
    <x v="11"/>
    <n v="17.679999999999993"/>
    <s v="Met"/>
  </r>
  <r>
    <s v="ORD-1031"/>
    <d v="2024-08-04T00:00:00"/>
    <x v="1"/>
    <x v="0"/>
    <s v="Keyboard"/>
    <s v="Accessories"/>
    <n v="2"/>
    <n v="66.09"/>
    <n v="132.18"/>
    <n v="150.25"/>
    <x v="8"/>
    <n v="-18.069999999999993"/>
    <s v="Missed"/>
  </r>
  <r>
    <s v="ORD-1032"/>
    <d v="2024-07-25T00:00:00"/>
    <x v="0"/>
    <x v="2"/>
    <s v="Webcam"/>
    <s v="Accessories"/>
    <n v="4"/>
    <n v="93.51"/>
    <n v="374.04"/>
    <n v="345.74"/>
    <x v="4"/>
    <n v="28.300000000000011"/>
    <s v="Met"/>
  </r>
  <r>
    <s v="ORD-1033"/>
    <d v="2024-03-12T00:00:00"/>
    <x v="1"/>
    <x v="2"/>
    <s v="Keyboard"/>
    <s v="Accessories"/>
    <n v="15"/>
    <n v="61.48"/>
    <n v="922.2"/>
    <n v="852.95"/>
    <x v="6"/>
    <n v="69.25"/>
    <s v="Met"/>
  </r>
  <r>
    <s v="ORD-1034"/>
    <d v="2024-10-08T00:00:00"/>
    <x v="1"/>
    <x v="1"/>
    <s v="Monitor"/>
    <s v="Electronics"/>
    <n v="18"/>
    <n v="292.05"/>
    <n v="5256.9"/>
    <n v="6402.98"/>
    <x v="7"/>
    <n v="-1146.08"/>
    <s v="Missed"/>
  </r>
  <r>
    <s v="ORD-1035"/>
    <d v="2024-03-26T00:00:00"/>
    <x v="1"/>
    <x v="1"/>
    <s v="Keyboard"/>
    <s v="Accessories"/>
    <n v="7"/>
    <n v="66.39"/>
    <n v="464.73"/>
    <n v="572.70000000000005"/>
    <x v="6"/>
    <n v="-107.97000000000003"/>
    <s v="Missed"/>
  </r>
  <r>
    <s v="ORD-1036"/>
    <d v="2024-07-13T00:00:00"/>
    <x v="3"/>
    <x v="3"/>
    <s v="Laptop"/>
    <s v="Electronics"/>
    <n v="9"/>
    <n v="974.38"/>
    <n v="8769.42"/>
    <n v="11078.05"/>
    <x v="4"/>
    <n v="-2308.6299999999992"/>
    <s v="Missed"/>
  </r>
  <r>
    <s v="ORD-1037"/>
    <d v="2024-08-04T00:00:00"/>
    <x v="4"/>
    <x v="1"/>
    <s v="Planner"/>
    <s v="Stationery"/>
    <n v="16"/>
    <n v="23.44"/>
    <n v="375.04"/>
    <n v="329.06"/>
    <x v="8"/>
    <n v="45.980000000000018"/>
    <s v="Met"/>
  </r>
  <r>
    <s v="ORD-1038"/>
    <d v="2024-01-30T00:00:00"/>
    <x v="1"/>
    <x v="0"/>
    <s v="USB Hub"/>
    <s v="Electronics"/>
    <n v="2"/>
    <n v="48.78"/>
    <n v="97.56"/>
    <n v="114.53"/>
    <x v="10"/>
    <n v="-16.97"/>
    <s v="Missed"/>
  </r>
  <r>
    <s v="ORD-1039"/>
    <d v="2024-10-26T00:00:00"/>
    <x v="2"/>
    <x v="0"/>
    <s v="Notebook"/>
    <s v="Stationery"/>
    <n v="17"/>
    <n v="15.39"/>
    <n v="261.63"/>
    <n v="229.9"/>
    <x v="7"/>
    <n v="31.72999999999999"/>
    <s v="Met"/>
  </r>
  <r>
    <s v="ORD-1040"/>
    <d v="2024-04-05T00:00:00"/>
    <x v="2"/>
    <x v="1"/>
    <s v="Monitor"/>
    <s v="Electronics"/>
    <n v="8"/>
    <n v="335.6"/>
    <n v="2684.8"/>
    <n v="2689.87"/>
    <x v="2"/>
    <n v="-5.069999999999709"/>
    <s v="Missed"/>
  </r>
  <r>
    <s v="ORD-1041"/>
    <d v="2024-10-23T00:00:00"/>
    <x v="2"/>
    <x v="3"/>
    <s v="USB Hub"/>
    <s v="Electronics"/>
    <n v="3"/>
    <n v="40.950000000000003"/>
    <n v="122.85"/>
    <n v="124.03"/>
    <x v="7"/>
    <n v="-1.1800000000000068"/>
    <s v="Missed"/>
  </r>
  <r>
    <s v="ORD-1042"/>
    <d v="2024-05-13T00:00:00"/>
    <x v="3"/>
    <x v="1"/>
    <s v="Standing Desk"/>
    <s v="Furniture"/>
    <n v="11"/>
    <n v="480.34"/>
    <n v="5283.74"/>
    <n v="4857.57"/>
    <x v="11"/>
    <n v="426.17000000000007"/>
    <s v="Met"/>
  </r>
  <r>
    <s v="ORD-1043"/>
    <d v="2024-12-09T00:00:00"/>
    <x v="2"/>
    <x v="0"/>
    <s v="Headphones"/>
    <s v="Accessories"/>
    <n v="3"/>
    <n v="121.72"/>
    <n v="365.16"/>
    <n v="293.83"/>
    <x v="1"/>
    <n v="71.330000000000041"/>
    <s v="Met"/>
  </r>
  <r>
    <s v="ORD-1044"/>
    <d v="2024-02-07T00:00:00"/>
    <x v="4"/>
    <x v="0"/>
    <s v="Planner"/>
    <s v="Stationery"/>
    <n v="9"/>
    <n v="20.97"/>
    <n v="188.73"/>
    <n v="163.47999999999999"/>
    <x v="5"/>
    <n v="25.25"/>
    <s v="Met"/>
  </r>
  <r>
    <s v="ORD-1045"/>
    <d v="2024-05-05T00:00:00"/>
    <x v="4"/>
    <x v="0"/>
    <s v="Webcam"/>
    <s v="Accessories"/>
    <n v="15"/>
    <n v="82.56"/>
    <n v="1238.4000000000001"/>
    <n v="1506.97"/>
    <x v="11"/>
    <n v="-268.56999999999994"/>
    <s v="Missed"/>
  </r>
  <r>
    <s v="ORD-1046"/>
    <d v="2024-12-07T00:00:00"/>
    <x v="0"/>
    <x v="3"/>
    <s v="Planner"/>
    <s v="Stationery"/>
    <n v="4"/>
    <n v="21.45"/>
    <n v="85.8"/>
    <n v="108.92"/>
    <x v="1"/>
    <n v="-23.120000000000005"/>
    <s v="Missed"/>
  </r>
  <r>
    <s v="ORD-1047"/>
    <d v="2024-02-29T00:00:00"/>
    <x v="2"/>
    <x v="1"/>
    <s v="Monitor"/>
    <s v="Electronics"/>
    <n v="5"/>
    <n v="347.39"/>
    <n v="1736.95"/>
    <n v="1626.09"/>
    <x v="5"/>
    <n v="110.86000000000013"/>
    <s v="Met"/>
  </r>
  <r>
    <s v="ORD-1048"/>
    <d v="2024-06-24T00:00:00"/>
    <x v="4"/>
    <x v="0"/>
    <s v="Standing Desk"/>
    <s v="Furniture"/>
    <n v="9"/>
    <n v="482.34"/>
    <n v="4341.0600000000004"/>
    <n v="4569.8500000000004"/>
    <x v="3"/>
    <n v="-228.78999999999996"/>
    <s v="Missed"/>
  </r>
  <r>
    <s v="ORD-1049"/>
    <d v="2024-02-17T00:00:00"/>
    <x v="0"/>
    <x v="3"/>
    <s v="Keyboard"/>
    <s v="Accessories"/>
    <n v="2"/>
    <n v="71.98"/>
    <n v="143.96"/>
    <n v="115.42"/>
    <x v="5"/>
    <n v="28.540000000000006"/>
    <s v="Met"/>
  </r>
  <r>
    <s v="ORD-1050"/>
    <d v="2024-03-23T00:00:00"/>
    <x v="1"/>
    <x v="0"/>
    <s v="Notebook"/>
    <s v="Stationery"/>
    <n v="14"/>
    <n v="15.57"/>
    <n v="217.98"/>
    <n v="235.52"/>
    <x v="6"/>
    <n v="-17.54000000000002"/>
    <s v="Missed"/>
  </r>
  <r>
    <s v="ORD-1051"/>
    <d v="2024-12-19T00:00:00"/>
    <x v="0"/>
    <x v="2"/>
    <s v="Desk Chair"/>
    <s v="Furniture"/>
    <n v="12"/>
    <n v="217.64"/>
    <n v="2611.6799999999998"/>
    <n v="2850.01"/>
    <x v="1"/>
    <n v="-238.33000000000038"/>
    <s v="Missed"/>
  </r>
  <r>
    <s v="ORD-1052"/>
    <d v="2024-03-06T00:00:00"/>
    <x v="0"/>
    <x v="1"/>
    <s v="Laptop"/>
    <s v="Electronics"/>
    <n v="2"/>
    <n v="830.5"/>
    <n v="1661"/>
    <n v="2075.36"/>
    <x v="6"/>
    <n v="-414.36000000000013"/>
    <s v="Missed"/>
  </r>
  <r>
    <s v="ORD-1053"/>
    <d v="2024-12-07T00:00:00"/>
    <x v="3"/>
    <x v="1"/>
    <s v="Monitor"/>
    <s v="Electronics"/>
    <n v="18"/>
    <n v="316.29000000000002"/>
    <n v="5693.22"/>
    <n v="7071.36"/>
    <x v="1"/>
    <n v="-1378.1399999999994"/>
    <s v="Missed"/>
  </r>
  <r>
    <s v="ORD-1054"/>
    <d v="2024-05-01T00:00:00"/>
    <x v="1"/>
    <x v="1"/>
    <s v="Desk Chair"/>
    <s v="Furniture"/>
    <n v="6"/>
    <n v="240.25"/>
    <n v="1441.5"/>
    <n v="1788.48"/>
    <x v="11"/>
    <n v="-346.98"/>
    <s v="Missed"/>
  </r>
  <r>
    <s v="ORD-1055"/>
    <d v="2024-06-19T00:00:00"/>
    <x v="1"/>
    <x v="2"/>
    <s v="Keyboard"/>
    <s v="Accessories"/>
    <n v="8"/>
    <n v="71.540000000000006"/>
    <n v="572.32000000000005"/>
    <n v="534.21"/>
    <x v="3"/>
    <n v="38.110000000000014"/>
    <s v="Met"/>
  </r>
  <r>
    <s v="ORD-1056"/>
    <d v="2024-01-20T00:00:00"/>
    <x v="0"/>
    <x v="1"/>
    <s v="Notebook"/>
    <s v="Stationery"/>
    <n v="15"/>
    <n v="14.33"/>
    <n v="214.95"/>
    <n v="209.54"/>
    <x v="10"/>
    <n v="5.4099999999999966"/>
    <s v="Met"/>
  </r>
  <r>
    <s v="ORD-1057"/>
    <d v="2024-01-13T00:00:00"/>
    <x v="4"/>
    <x v="3"/>
    <s v="Standing Desk"/>
    <s v="Furniture"/>
    <n v="9"/>
    <n v="449.83"/>
    <n v="4048.47"/>
    <n v="4988.43"/>
    <x v="10"/>
    <n v="-939.96000000000049"/>
    <s v="Missed"/>
  </r>
  <r>
    <s v="ORD-1058"/>
    <d v="2024-11-24T00:00:00"/>
    <x v="1"/>
    <x v="0"/>
    <s v="Planner"/>
    <s v="Stationery"/>
    <n v="18"/>
    <n v="22"/>
    <n v="396"/>
    <n v="382.37"/>
    <x v="0"/>
    <n v="13.629999999999995"/>
    <s v="Met"/>
  </r>
  <r>
    <s v="ORD-1059"/>
    <d v="2024-05-13T00:00:00"/>
    <x v="2"/>
    <x v="2"/>
    <s v="Desk Chair"/>
    <s v="Furniture"/>
    <n v="9"/>
    <n v="219.48"/>
    <n v="1975.32"/>
    <n v="1618.04"/>
    <x v="11"/>
    <n v="357.28"/>
    <s v="Met"/>
  </r>
  <r>
    <s v="ORD-1060"/>
    <d v="2024-06-25T00:00:00"/>
    <x v="2"/>
    <x v="1"/>
    <s v="Webcam"/>
    <s v="Accessories"/>
    <n v="17"/>
    <n v="85.77"/>
    <n v="1458.09"/>
    <n v="1250.78"/>
    <x v="3"/>
    <n v="207.30999999999995"/>
    <s v="Met"/>
  </r>
  <r>
    <s v="ORD-1061"/>
    <d v="2024-05-10T00:00:00"/>
    <x v="2"/>
    <x v="1"/>
    <s v="Laptop"/>
    <s v="Electronics"/>
    <n v="1"/>
    <n v="915.62"/>
    <n v="915.62"/>
    <n v="970.52"/>
    <x v="11"/>
    <n v="-54.899999999999977"/>
    <s v="Missed"/>
  </r>
  <r>
    <s v="ORD-1062"/>
    <d v="2024-07-05T00:00:00"/>
    <x v="1"/>
    <x v="3"/>
    <s v="Keyboard"/>
    <s v="Accessories"/>
    <n v="11"/>
    <n v="59.64"/>
    <n v="656.04"/>
    <n v="729.24"/>
    <x v="4"/>
    <n v="-73.200000000000045"/>
    <s v="Missed"/>
  </r>
  <r>
    <s v="ORD-1063"/>
    <d v="2024-09-16T00:00:00"/>
    <x v="4"/>
    <x v="1"/>
    <s v="Headphones"/>
    <s v="Accessories"/>
    <n v="11"/>
    <n v="128.01"/>
    <n v="1408.11"/>
    <n v="1409.8"/>
    <x v="9"/>
    <n v="-1.6900000000000546"/>
    <s v="Missed"/>
  </r>
  <r>
    <s v="ORD-1064"/>
    <d v="2024-04-08T00:00:00"/>
    <x v="0"/>
    <x v="3"/>
    <s v="Keyboard"/>
    <s v="Accessories"/>
    <n v="13"/>
    <n v="69.31"/>
    <n v="901.03"/>
    <n v="1025.97"/>
    <x v="2"/>
    <n v="-124.94000000000005"/>
    <s v="Missed"/>
  </r>
  <r>
    <s v="ORD-1065"/>
    <d v="2024-07-26T00:00:00"/>
    <x v="3"/>
    <x v="3"/>
    <s v="Planner"/>
    <s v="Stationery"/>
    <n v="10"/>
    <n v="24.39"/>
    <n v="243.9"/>
    <n v="230.11"/>
    <x v="4"/>
    <n v="13.789999999999992"/>
    <s v="Met"/>
  </r>
  <r>
    <s v="ORD-1066"/>
    <d v="2024-08-26T00:00:00"/>
    <x v="0"/>
    <x v="0"/>
    <s v="Notebook"/>
    <s v="Stationery"/>
    <n v="7"/>
    <n v="15.16"/>
    <n v="106.12"/>
    <n v="112.02"/>
    <x v="8"/>
    <n v="-5.8999999999999915"/>
    <s v="Missed"/>
  </r>
  <r>
    <s v="ORD-1067"/>
    <d v="2024-05-25T00:00:00"/>
    <x v="0"/>
    <x v="3"/>
    <s v="Planner"/>
    <s v="Stationery"/>
    <n v="20"/>
    <n v="23.45"/>
    <n v="469"/>
    <n v="453.8"/>
    <x v="11"/>
    <n v="15.199999999999989"/>
    <s v="Met"/>
  </r>
  <r>
    <s v="ORD-1068"/>
    <d v="2024-04-25T00:00:00"/>
    <x v="3"/>
    <x v="0"/>
    <s v="Standing Desk"/>
    <s v="Furniture"/>
    <n v="2"/>
    <n v="421.58"/>
    <n v="843.16"/>
    <n v="777.75"/>
    <x v="2"/>
    <n v="65.409999999999968"/>
    <s v="Met"/>
  </r>
  <r>
    <s v="ORD-1069"/>
    <d v="2024-08-21T00:00:00"/>
    <x v="3"/>
    <x v="2"/>
    <s v="Keyboard"/>
    <s v="Accessories"/>
    <n v="19"/>
    <n v="72.900000000000006"/>
    <n v="1385.1"/>
    <n v="1242.74"/>
    <x v="8"/>
    <n v="142.3599999999999"/>
    <s v="Met"/>
  </r>
  <r>
    <s v="ORD-1070"/>
    <d v="2024-07-23T00:00:00"/>
    <x v="1"/>
    <x v="2"/>
    <s v="Standing Desk"/>
    <s v="Furniture"/>
    <n v="1"/>
    <n v="421.6"/>
    <n v="421.6"/>
    <n v="525.45000000000005"/>
    <x v="4"/>
    <n v="-103.85000000000002"/>
    <s v="Missed"/>
  </r>
  <r>
    <s v="ORD-1071"/>
    <d v="2024-04-22T00:00:00"/>
    <x v="2"/>
    <x v="1"/>
    <s v="Desk Chair"/>
    <s v="Furniture"/>
    <n v="17"/>
    <n v="231.22"/>
    <n v="3930.74"/>
    <n v="4057.6"/>
    <x v="2"/>
    <n v="-126.86000000000013"/>
    <s v="Missed"/>
  </r>
  <r>
    <s v="ORD-1072"/>
    <d v="2024-03-03T00:00:00"/>
    <x v="2"/>
    <x v="3"/>
    <s v="Notebook"/>
    <s v="Stationery"/>
    <n v="15"/>
    <n v="14"/>
    <n v="210"/>
    <n v="238.1"/>
    <x v="6"/>
    <n v="-28.099999999999994"/>
    <s v="Missed"/>
  </r>
  <r>
    <s v="ORD-1073"/>
    <d v="2024-08-14T00:00:00"/>
    <x v="2"/>
    <x v="2"/>
    <s v="USB Hub"/>
    <s v="Electronics"/>
    <n v="17"/>
    <n v="49.67"/>
    <n v="844.39"/>
    <n v="855.68"/>
    <x v="8"/>
    <n v="-11.289999999999964"/>
    <s v="Missed"/>
  </r>
  <r>
    <s v="ORD-1074"/>
    <d v="2024-03-22T00:00:00"/>
    <x v="4"/>
    <x v="2"/>
    <s v="Notebook"/>
    <s v="Stationery"/>
    <n v="8"/>
    <n v="15.19"/>
    <n v="121.52"/>
    <n v="148.25"/>
    <x v="6"/>
    <n v="-26.730000000000004"/>
    <s v="Missed"/>
  </r>
  <r>
    <s v="ORD-1075"/>
    <d v="2024-11-16T00:00:00"/>
    <x v="0"/>
    <x v="3"/>
    <s v="Standing Desk"/>
    <s v="Furniture"/>
    <n v="3"/>
    <n v="435.89"/>
    <n v="1307.67"/>
    <n v="1512.68"/>
    <x v="0"/>
    <n v="-205.01"/>
    <s v="Missed"/>
  </r>
  <r>
    <s v="ORD-1076"/>
    <d v="2024-06-20T00:00:00"/>
    <x v="0"/>
    <x v="2"/>
    <s v="Webcam"/>
    <s v="Accessories"/>
    <n v="3"/>
    <n v="95.48"/>
    <n v="286.44"/>
    <n v="248.97"/>
    <x v="3"/>
    <n v="37.47"/>
    <s v="Met"/>
  </r>
  <r>
    <s v="ORD-1077"/>
    <d v="2024-12-21T00:00:00"/>
    <x v="4"/>
    <x v="2"/>
    <s v="Desk Chair"/>
    <s v="Furniture"/>
    <n v="3"/>
    <n v="226.09"/>
    <n v="678.27"/>
    <n v="683.31"/>
    <x v="1"/>
    <n v="-5.0399999999999636"/>
    <s v="Missed"/>
  </r>
  <r>
    <s v="ORD-1078"/>
    <d v="2024-07-31T00:00:00"/>
    <x v="2"/>
    <x v="0"/>
    <s v="Laptop"/>
    <s v="Electronics"/>
    <n v="14"/>
    <n v="808.95"/>
    <n v="11325.3"/>
    <n v="11265.71"/>
    <x v="4"/>
    <n v="59.590000000000146"/>
    <s v="Met"/>
  </r>
  <r>
    <s v="ORD-1079"/>
    <d v="2024-10-21T00:00:00"/>
    <x v="3"/>
    <x v="2"/>
    <s v="Keyboard"/>
    <s v="Accessories"/>
    <n v="12"/>
    <n v="66.25"/>
    <n v="795"/>
    <n v="754.7"/>
    <x v="7"/>
    <n v="40.299999999999955"/>
    <s v="Met"/>
  </r>
  <r>
    <s v="ORD-1080"/>
    <d v="2024-10-02T00:00:00"/>
    <x v="4"/>
    <x v="2"/>
    <s v="Planner"/>
    <s v="Stationery"/>
    <n v="8"/>
    <n v="24.2"/>
    <n v="193.6"/>
    <n v="202.14"/>
    <x v="7"/>
    <n v="-8.539999999999992"/>
    <s v="Missed"/>
  </r>
  <r>
    <s v="ORD-1081"/>
    <d v="2024-09-05T00:00:00"/>
    <x v="3"/>
    <x v="1"/>
    <s v="Laptop"/>
    <s v="Electronics"/>
    <n v="13"/>
    <n v="847.63"/>
    <n v="11019.19"/>
    <n v="12805.3"/>
    <x v="9"/>
    <n v="-1786.1099999999988"/>
    <s v="Missed"/>
  </r>
  <r>
    <s v="ORD-1082"/>
    <d v="2024-11-14T00:00:00"/>
    <x v="1"/>
    <x v="0"/>
    <s v="Planner"/>
    <s v="Stationery"/>
    <n v="13"/>
    <n v="19.95"/>
    <n v="259.35000000000002"/>
    <n v="284.23"/>
    <x v="0"/>
    <n v="-24.879999999999995"/>
    <s v="Missed"/>
  </r>
  <r>
    <s v="ORD-1083"/>
    <d v="2024-11-25T00:00:00"/>
    <x v="4"/>
    <x v="2"/>
    <s v="Keyboard"/>
    <s v="Accessories"/>
    <n v="15"/>
    <n v="60.71"/>
    <n v="910.65"/>
    <n v="811.27"/>
    <x v="0"/>
    <n v="99.38"/>
    <s v="Met"/>
  </r>
  <r>
    <s v="ORD-1084"/>
    <d v="2024-06-16T00:00:00"/>
    <x v="3"/>
    <x v="3"/>
    <s v="Standing Desk"/>
    <s v="Furniture"/>
    <n v="11"/>
    <n v="456.15"/>
    <n v="5017.6499999999996"/>
    <n v="5923.91"/>
    <x v="3"/>
    <n v="-906.26000000000022"/>
    <s v="Missed"/>
  </r>
  <r>
    <s v="ORD-1085"/>
    <d v="2024-08-03T00:00:00"/>
    <x v="2"/>
    <x v="0"/>
    <s v="Headphones"/>
    <s v="Accessories"/>
    <n v="16"/>
    <n v="133.05000000000001"/>
    <n v="2128.8000000000002"/>
    <n v="1723.67"/>
    <x v="8"/>
    <n v="405.13000000000011"/>
    <s v="Met"/>
  </r>
  <r>
    <s v="ORD-1086"/>
    <d v="2024-06-28T00:00:00"/>
    <x v="0"/>
    <x v="1"/>
    <s v="Standing Desk"/>
    <s v="Furniture"/>
    <n v="2"/>
    <n v="478.14"/>
    <n v="956.28"/>
    <n v="1125.6500000000001"/>
    <x v="3"/>
    <n v="-169.37000000000012"/>
    <s v="Missed"/>
  </r>
  <r>
    <s v="ORD-1087"/>
    <d v="2024-01-11T00:00:00"/>
    <x v="1"/>
    <x v="1"/>
    <s v="USB Hub"/>
    <s v="Electronics"/>
    <n v="5"/>
    <n v="42.21"/>
    <n v="211.05"/>
    <n v="218.81"/>
    <x v="10"/>
    <n v="-7.7599999999999909"/>
    <s v="Missed"/>
  </r>
  <r>
    <s v="ORD-1088"/>
    <d v="2024-08-26T00:00:00"/>
    <x v="1"/>
    <x v="1"/>
    <s v="Headphones"/>
    <s v="Accessories"/>
    <n v="6"/>
    <n v="131.01"/>
    <n v="786.06"/>
    <n v="866.98"/>
    <x v="8"/>
    <n v="-80.920000000000073"/>
    <s v="Missed"/>
  </r>
  <r>
    <s v="ORD-1089"/>
    <d v="2024-06-08T00:00:00"/>
    <x v="3"/>
    <x v="2"/>
    <s v="Monitor"/>
    <s v="Electronics"/>
    <n v="10"/>
    <n v="334.29"/>
    <n v="3342.9"/>
    <n v="3636.74"/>
    <x v="3"/>
    <n v="-293.83999999999969"/>
    <s v="Missed"/>
  </r>
  <r>
    <s v="ORD-1090"/>
    <d v="2024-04-11T00:00:00"/>
    <x v="4"/>
    <x v="0"/>
    <s v="Monitor"/>
    <s v="Electronics"/>
    <n v="8"/>
    <n v="335.37"/>
    <n v="2682.96"/>
    <n v="2283.0700000000002"/>
    <x v="2"/>
    <n v="399.88999999999987"/>
    <s v="Met"/>
  </r>
  <r>
    <s v="ORD-1091"/>
    <d v="2024-10-16T00:00:00"/>
    <x v="1"/>
    <x v="3"/>
    <s v="Laptop"/>
    <s v="Electronics"/>
    <n v="14"/>
    <n v="838.78"/>
    <n v="11742.92"/>
    <n v="13278.43"/>
    <x v="7"/>
    <n v="-1535.5100000000002"/>
    <s v="Missed"/>
  </r>
  <r>
    <s v="ORD-1092"/>
    <d v="2024-01-07T00:00:00"/>
    <x v="4"/>
    <x v="2"/>
    <s v="Keyboard"/>
    <s v="Accessories"/>
    <n v="4"/>
    <n v="71.86"/>
    <n v="287.44"/>
    <n v="292.26"/>
    <x v="10"/>
    <n v="-4.8199999999999932"/>
    <s v="Missed"/>
  </r>
  <r>
    <s v="ORD-1093"/>
    <d v="2024-12-28T00:00:00"/>
    <x v="4"/>
    <x v="2"/>
    <s v="Desk Chair"/>
    <s v="Furniture"/>
    <n v="17"/>
    <n v="211.86"/>
    <n v="3601.62"/>
    <n v="4619.93"/>
    <x v="1"/>
    <n v="-1018.3100000000004"/>
    <s v="Missed"/>
  </r>
  <r>
    <s v="ORD-1094"/>
    <d v="2024-08-26T00:00:00"/>
    <x v="0"/>
    <x v="0"/>
    <s v="Keyboard"/>
    <s v="Accessories"/>
    <n v="19"/>
    <n v="71.92"/>
    <n v="1366.48"/>
    <n v="1276.56"/>
    <x v="8"/>
    <n v="89.920000000000073"/>
    <s v="Met"/>
  </r>
  <r>
    <s v="ORD-1095"/>
    <d v="2024-05-22T00:00:00"/>
    <x v="3"/>
    <x v="3"/>
    <s v="Notebook"/>
    <s v="Stationery"/>
    <n v="15"/>
    <n v="14.41"/>
    <n v="216.15"/>
    <n v="234.51"/>
    <x v="11"/>
    <n v="-18.359999999999985"/>
    <s v="Missed"/>
  </r>
  <r>
    <s v="ORD-1096"/>
    <d v="2024-01-15T00:00:00"/>
    <x v="4"/>
    <x v="3"/>
    <s v="Notebook"/>
    <s v="Stationery"/>
    <n v="6"/>
    <n v="16.690000000000001"/>
    <n v="100.14"/>
    <n v="104.52"/>
    <x v="10"/>
    <n v="-4.3799999999999955"/>
    <s v="Missed"/>
  </r>
  <r>
    <s v="ORD-1097"/>
    <d v="2024-06-23T00:00:00"/>
    <x v="2"/>
    <x v="1"/>
    <s v="Headphones"/>
    <s v="Accessories"/>
    <n v="9"/>
    <n v="134.41"/>
    <n v="1209.69"/>
    <n v="1303.92"/>
    <x v="3"/>
    <n v="-94.230000000000018"/>
    <s v="Missed"/>
  </r>
  <r>
    <s v="ORD-1098"/>
    <d v="2024-02-13T00:00:00"/>
    <x v="0"/>
    <x v="2"/>
    <s v="Standing Desk"/>
    <s v="Furniture"/>
    <n v="16"/>
    <n v="486.01"/>
    <n v="7776.16"/>
    <n v="8379.5"/>
    <x v="5"/>
    <n v="-603.34000000000015"/>
    <s v="Missed"/>
  </r>
  <r>
    <s v="ORD-1099"/>
    <d v="2024-11-26T00:00:00"/>
    <x v="0"/>
    <x v="2"/>
    <s v="Notebook"/>
    <s v="Stationery"/>
    <n v="1"/>
    <n v="15.18"/>
    <n v="15.18"/>
    <n v="12.85"/>
    <x v="0"/>
    <n v="2.33"/>
    <s v="Met"/>
  </r>
  <r>
    <s v="ORD-1100"/>
    <d v="2024-12-20T00:00:00"/>
    <x v="2"/>
    <x v="3"/>
    <s v="Standing Desk"/>
    <s v="Furniture"/>
    <n v="19"/>
    <n v="439.45"/>
    <n v="8349.5499999999993"/>
    <n v="8220.2199999999993"/>
    <x v="1"/>
    <n v="129.32999999999993"/>
    <s v="M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74E2BA-FEA6-4BB5-B4C2-33EE8F51ACAE}"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C33" firstHeaderRow="0" firstDataRow="1" firstDataCol="1"/>
  <pivotFields count="13">
    <pivotField showAll="0"/>
    <pivotField numFmtId="165" showAll="0"/>
    <pivotField showAll="0"/>
    <pivotField showAll="0">
      <items count="5">
        <item x="3"/>
        <item x="0"/>
        <item x="1"/>
        <item x="2"/>
        <item t="default"/>
      </items>
    </pivotField>
    <pivotField showAll="0"/>
    <pivotField showAll="0"/>
    <pivotField showAll="0"/>
    <pivotField numFmtId="166" showAll="0"/>
    <pivotField dataField="1" numFmtId="166" showAll="0"/>
    <pivotField dataField="1" numFmtId="166" showAll="0"/>
    <pivotField axis="axisRow" showAll="0" sortType="ascending">
      <items count="13">
        <item x="2"/>
        <item x="8"/>
        <item x="1"/>
        <item x="5"/>
        <item x="10"/>
        <item x="4"/>
        <item x="3"/>
        <item x="6"/>
        <item x="11"/>
        <item x="0"/>
        <item x="7"/>
        <item x="9"/>
        <item t="default"/>
      </items>
    </pivotField>
    <pivotField numFmtId="166" showAll="0"/>
    <pivotField showAll="0"/>
  </pivotFields>
  <rowFields count="1">
    <field x="10"/>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Sales" fld="8" baseField="0" baseItem="0" numFmtId="166"/>
    <dataField name="Sum of Target" fld="9" baseField="0" baseItem="0" numFmtId="166"/>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E2946A-4A4A-4141-915D-4E9A3BDD680E}"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C16" firstHeaderRow="0" firstDataRow="1" firstDataCol="1"/>
  <pivotFields count="13">
    <pivotField showAll="0"/>
    <pivotField numFmtId="165" showAll="0"/>
    <pivotField axis="axisRow"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showAll="0"/>
    <pivotField showAll="0"/>
    <pivotField numFmtId="166" showAll="0"/>
    <pivotField dataField="1" numFmtId="166" showAll="0"/>
    <pivotField dataField="1" numFmtId="166" showAll="0"/>
    <pivotField showAll="0">
      <items count="13">
        <item x="2"/>
        <item x="8"/>
        <item x="1"/>
        <item x="5"/>
        <item x="10"/>
        <item x="4"/>
        <item x="3"/>
        <item x="6"/>
        <item x="11"/>
        <item x="0"/>
        <item x="7"/>
        <item x="9"/>
        <item t="default"/>
      </items>
    </pivotField>
    <pivotField numFmtId="166" showAll="0"/>
    <pivotField showAll="0"/>
  </pivotFields>
  <rowFields count="1">
    <field x="2"/>
  </rowFields>
  <rowItems count="6">
    <i>
      <x v="1"/>
    </i>
    <i>
      <x v="3"/>
    </i>
    <i>
      <x v="4"/>
    </i>
    <i>
      <x v="2"/>
    </i>
    <i>
      <x/>
    </i>
    <i t="grand">
      <x/>
    </i>
  </rowItems>
  <colFields count="1">
    <field x="-2"/>
  </colFields>
  <colItems count="2">
    <i>
      <x/>
    </i>
    <i i="1">
      <x v="1"/>
    </i>
  </colItems>
  <dataFields count="2">
    <dataField name="Sum of Total Sales" fld="8" baseField="0" baseItem="0" numFmtId="166"/>
    <dataField name="Sum of Target" fld="9" baseField="0" baseItem="0" numFmtId="166"/>
  </dataFields>
  <formats count="1">
    <format dxfId="15">
      <pivotArea dataOnly="0" labelOnly="1" outline="0" fieldPosition="0">
        <references count="1">
          <reference field="4294967294" count="1">
            <x v="0"/>
          </reference>
        </references>
      </pivotArea>
    </format>
  </formats>
  <chartFormats count="2">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4FC694-3F70-48C9-8D94-CECE84B6919E}"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C7" firstHeaderRow="0" firstDataRow="1" firstDataCol="1"/>
  <pivotFields count="13">
    <pivotField showAll="0"/>
    <pivotField numFmtId="165" showAll="0"/>
    <pivotField showAll="0"/>
    <pivotField axis="axisRow" showAll="0">
      <items count="5">
        <item x="3"/>
        <item x="0"/>
        <item x="1"/>
        <item x="2"/>
        <item t="default"/>
      </items>
    </pivotField>
    <pivotField showAll="0"/>
    <pivotField showAll="0"/>
    <pivotField showAll="0"/>
    <pivotField numFmtId="166" showAll="0"/>
    <pivotField dataField="1" numFmtId="166" showAll="0"/>
    <pivotField dataField="1" numFmtId="166" showAll="0"/>
    <pivotField showAll="0">
      <items count="13">
        <item x="2"/>
        <item x="8"/>
        <item x="1"/>
        <item x="5"/>
        <item x="10"/>
        <item x="4"/>
        <item x="3"/>
        <item x="6"/>
        <item x="11"/>
        <item x="0"/>
        <item x="7"/>
        <item x="9"/>
        <item t="default"/>
      </items>
    </pivotField>
    <pivotField numFmtId="166" showAll="0"/>
    <pivotField showAll="0"/>
  </pivotFields>
  <rowFields count="1">
    <field x="3"/>
  </rowFields>
  <rowItems count="5">
    <i>
      <x/>
    </i>
    <i>
      <x v="1"/>
    </i>
    <i>
      <x v="2"/>
    </i>
    <i>
      <x v="3"/>
    </i>
    <i t="grand">
      <x/>
    </i>
  </rowItems>
  <colFields count="1">
    <field x="-2"/>
  </colFields>
  <colItems count="2">
    <i>
      <x/>
    </i>
    <i i="1">
      <x v="1"/>
    </i>
  </colItems>
  <dataFields count="2">
    <dataField name="Sum of Total Sales" fld="8" baseField="0" baseItem="0" numFmtId="166"/>
    <dataField name="Sum of Target" fld="9" baseField="0" baseItem="0" numFmtId="166"/>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517194-303F-41D1-98BE-BA425EB1CD1A}" sourceName="Region">
  <pivotTables>
    <pivotTable tabId="3" name="PivotTable6"/>
    <pivotTable tabId="3" name="PivotTable1"/>
    <pivotTable tabId="3" name="PivotTable2"/>
  </pivotTables>
  <data>
    <tabular pivotCacheId="783653619">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CAF5D51-929D-429C-B2EF-4D4F1E50F319}" sourceName="Month">
  <pivotTables>
    <pivotTable tabId="3" name="PivotTable6"/>
    <pivotTable tabId="3" name="PivotTable1"/>
    <pivotTable tabId="3" name="PivotTable2"/>
  </pivotTables>
  <data>
    <tabular pivotCacheId="783653619">
      <items count="12">
        <i x="2" s="1"/>
        <i x="8" s="1"/>
        <i x="1" s="1"/>
        <i x="5" s="1"/>
        <i x="10" s="1"/>
        <i x="4" s="1"/>
        <i x="3" s="1"/>
        <i x="6" s="1"/>
        <i x="11" s="1"/>
        <i x="0" s="1"/>
        <i x="7"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9F22EA8-9D69-4B91-983D-2489D7BC270F}" cache="Slicer_Region" caption="Region" rowHeight="234950"/>
  <slicer name="Month" xr10:uid="{C78A55D7-BB3D-4BD2-9DF9-165D8B27570F}"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2B26A3-2508-41AD-9649-5C415EF87A6F}" name="Table1" displayName="Table1" ref="E10:E16" totalsRowShown="0">
  <autoFilter ref="E10:E16" xr:uid="{862B26A3-2508-41AD-9649-5C415EF87A6F}"/>
  <sortState xmlns:xlrd2="http://schemas.microsoft.com/office/spreadsheetml/2017/richdata2" ref="E11:E16">
    <sortCondition ref="E10:E16"/>
  </sortState>
  <tableColumns count="1">
    <tableColumn id="1" xr3:uid="{BC29A135-1575-4705-9DB9-CA21C9FD8F90}" name="Variance" dataDxfId="14">
      <calculatedColumnFormula>D11-C11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workbookViewId="0">
      <pane ySplit="1" topLeftCell="A76" activePane="bottomLeft" state="frozen"/>
      <selection pane="bottomLeft" sqref="A1:M101"/>
    </sheetView>
  </sheetViews>
  <sheetFormatPr defaultRowHeight="14.4" x14ac:dyDescent="0.3"/>
  <cols>
    <col min="1" max="1" width="12" customWidth="1"/>
    <col min="2" max="2" width="15" customWidth="1"/>
    <col min="3" max="3" width="16" customWidth="1"/>
    <col min="4" max="4" width="10" customWidth="1"/>
    <col min="5" max="5" width="16" customWidth="1"/>
    <col min="6" max="6" width="14" customWidth="1"/>
    <col min="7" max="8" width="12" customWidth="1"/>
    <col min="9" max="9" width="14" customWidth="1"/>
    <col min="10" max="10" width="12" customWidth="1"/>
    <col min="11" max="11" width="14" customWidth="1"/>
    <col min="12" max="12" width="12" customWidth="1"/>
    <col min="13" max="13" width="10" customWidth="1"/>
  </cols>
  <sheetData>
    <row r="1" spans="1:13" ht="22.0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2" t="s">
        <v>13</v>
      </c>
      <c r="B2" s="3">
        <v>45619</v>
      </c>
      <c r="C2" s="2" t="s">
        <v>14</v>
      </c>
      <c r="D2" s="2" t="s">
        <v>15</v>
      </c>
      <c r="E2" s="2" t="s">
        <v>16</v>
      </c>
      <c r="F2" s="2" t="s">
        <v>17</v>
      </c>
      <c r="G2" s="2">
        <v>9</v>
      </c>
      <c r="H2" s="4">
        <v>290</v>
      </c>
      <c r="I2" s="4">
        <v>2610</v>
      </c>
      <c r="J2" s="4">
        <v>2407.58</v>
      </c>
      <c r="K2" s="2" t="str">
        <f t="shared" ref="K2:K33" si="0">TEXT(B2,"MMM YYYY")</f>
        <v>Nov 2024</v>
      </c>
      <c r="L2" s="4">
        <f t="shared" ref="L2:L33" si="1">I2-J2</f>
        <v>202.42000000000007</v>
      </c>
      <c r="M2" s="2" t="str">
        <f t="shared" ref="M2:M33" si="2">IF(I2&gt;=J2,"Met","Missed")</f>
        <v>Met</v>
      </c>
    </row>
    <row r="3" spans="1:13" x14ac:dyDescent="0.3">
      <c r="A3" s="5" t="s">
        <v>18</v>
      </c>
      <c r="B3" s="6">
        <v>45638</v>
      </c>
      <c r="C3" s="5" t="s">
        <v>19</v>
      </c>
      <c r="D3" s="5" t="s">
        <v>20</v>
      </c>
      <c r="E3" s="5" t="s">
        <v>21</v>
      </c>
      <c r="F3" s="5" t="s">
        <v>22</v>
      </c>
      <c r="G3" s="5">
        <v>14</v>
      </c>
      <c r="H3" s="7">
        <v>20.28</v>
      </c>
      <c r="I3" s="7">
        <v>283.92</v>
      </c>
      <c r="J3" s="7">
        <v>231.65</v>
      </c>
      <c r="K3" s="5" t="str">
        <f t="shared" si="0"/>
        <v>Dec 2024</v>
      </c>
      <c r="L3" s="7">
        <f t="shared" si="1"/>
        <v>52.27000000000001</v>
      </c>
      <c r="M3" s="5" t="str">
        <f t="shared" si="2"/>
        <v>Met</v>
      </c>
    </row>
    <row r="4" spans="1:13" x14ac:dyDescent="0.3">
      <c r="A4" s="2" t="s">
        <v>23</v>
      </c>
      <c r="B4" s="3">
        <v>45411</v>
      </c>
      <c r="C4" s="2" t="s">
        <v>24</v>
      </c>
      <c r="D4" s="2" t="s">
        <v>25</v>
      </c>
      <c r="E4" s="2" t="s">
        <v>21</v>
      </c>
      <c r="F4" s="2" t="s">
        <v>22</v>
      </c>
      <c r="G4" s="2">
        <v>18</v>
      </c>
      <c r="H4" s="4">
        <v>23.11</v>
      </c>
      <c r="I4" s="4">
        <v>415.98</v>
      </c>
      <c r="J4" s="4">
        <v>374.14</v>
      </c>
      <c r="K4" s="2" t="str">
        <f t="shared" si="0"/>
        <v>Apr 2024</v>
      </c>
      <c r="L4" s="4">
        <f t="shared" si="1"/>
        <v>41.840000000000032</v>
      </c>
      <c r="M4" s="2" t="str">
        <f t="shared" si="2"/>
        <v>Met</v>
      </c>
    </row>
    <row r="5" spans="1:13" x14ac:dyDescent="0.3">
      <c r="A5" s="5" t="s">
        <v>26</v>
      </c>
      <c r="B5" s="6">
        <v>45404</v>
      </c>
      <c r="C5" s="5" t="s">
        <v>14</v>
      </c>
      <c r="D5" s="5" t="s">
        <v>25</v>
      </c>
      <c r="E5" s="5" t="s">
        <v>27</v>
      </c>
      <c r="F5" s="5" t="s">
        <v>22</v>
      </c>
      <c r="G5" s="5">
        <v>1</v>
      </c>
      <c r="H5" s="7">
        <v>15.71</v>
      </c>
      <c r="I5" s="7">
        <v>15.71</v>
      </c>
      <c r="J5" s="7">
        <v>18.53</v>
      </c>
      <c r="K5" s="5" t="str">
        <f t="shared" si="0"/>
        <v>Apr 2024</v>
      </c>
      <c r="L5" s="7">
        <f t="shared" si="1"/>
        <v>-2.8200000000000003</v>
      </c>
      <c r="M5" s="5" t="str">
        <f t="shared" si="2"/>
        <v>Missed</v>
      </c>
    </row>
    <row r="6" spans="1:13" x14ac:dyDescent="0.3">
      <c r="A6" s="2" t="s">
        <v>28</v>
      </c>
      <c r="B6" s="3">
        <v>45466</v>
      </c>
      <c r="C6" s="2" t="s">
        <v>29</v>
      </c>
      <c r="D6" s="2" t="s">
        <v>15</v>
      </c>
      <c r="E6" s="2" t="s">
        <v>30</v>
      </c>
      <c r="F6" s="2" t="s">
        <v>31</v>
      </c>
      <c r="G6" s="2">
        <v>11</v>
      </c>
      <c r="H6" s="4">
        <v>112.66</v>
      </c>
      <c r="I6" s="4">
        <v>1239.26</v>
      </c>
      <c r="J6" s="4">
        <v>1054.74</v>
      </c>
      <c r="K6" s="2" t="str">
        <f t="shared" si="0"/>
        <v>Jun 2024</v>
      </c>
      <c r="L6" s="4">
        <f t="shared" si="1"/>
        <v>184.51999999999998</v>
      </c>
      <c r="M6" s="2" t="str">
        <f t="shared" si="2"/>
        <v>Met</v>
      </c>
    </row>
    <row r="7" spans="1:13" x14ac:dyDescent="0.3">
      <c r="A7" s="5" t="s">
        <v>32</v>
      </c>
      <c r="B7" s="6">
        <v>45475</v>
      </c>
      <c r="C7" s="5" t="s">
        <v>24</v>
      </c>
      <c r="D7" s="5" t="s">
        <v>15</v>
      </c>
      <c r="E7" s="5" t="s">
        <v>33</v>
      </c>
      <c r="F7" s="5" t="s">
        <v>31</v>
      </c>
      <c r="G7" s="5">
        <v>2</v>
      </c>
      <c r="H7" s="7">
        <v>89.33</v>
      </c>
      <c r="I7" s="7">
        <v>178.66</v>
      </c>
      <c r="J7" s="7">
        <v>208.11</v>
      </c>
      <c r="K7" s="5" t="str">
        <f t="shared" si="0"/>
        <v>Jul 2024</v>
      </c>
      <c r="L7" s="7">
        <f t="shared" si="1"/>
        <v>-29.450000000000017</v>
      </c>
      <c r="M7" s="5" t="str">
        <f t="shared" si="2"/>
        <v>Missed</v>
      </c>
    </row>
    <row r="8" spans="1:13" x14ac:dyDescent="0.3">
      <c r="A8" s="2" t="s">
        <v>34</v>
      </c>
      <c r="B8" s="3">
        <v>45485</v>
      </c>
      <c r="C8" s="2" t="s">
        <v>35</v>
      </c>
      <c r="D8" s="2" t="s">
        <v>20</v>
      </c>
      <c r="E8" s="2" t="s">
        <v>16</v>
      </c>
      <c r="F8" s="2" t="s">
        <v>17</v>
      </c>
      <c r="G8" s="2">
        <v>20</v>
      </c>
      <c r="H8" s="4">
        <v>332.16</v>
      </c>
      <c r="I8" s="4">
        <v>6643.2</v>
      </c>
      <c r="J8" s="4">
        <v>8255.68</v>
      </c>
      <c r="K8" s="2" t="str">
        <f t="shared" si="0"/>
        <v>Jul 2024</v>
      </c>
      <c r="L8" s="4">
        <f t="shared" si="1"/>
        <v>-1612.4800000000005</v>
      </c>
      <c r="M8" s="2" t="str">
        <f t="shared" si="2"/>
        <v>Missed</v>
      </c>
    </row>
    <row r="9" spans="1:13" x14ac:dyDescent="0.3">
      <c r="A9" s="5" t="s">
        <v>36</v>
      </c>
      <c r="B9" s="6">
        <v>45652</v>
      </c>
      <c r="C9" s="5" t="s">
        <v>19</v>
      </c>
      <c r="D9" s="5" t="s">
        <v>20</v>
      </c>
      <c r="E9" s="5" t="s">
        <v>16</v>
      </c>
      <c r="F9" s="5" t="s">
        <v>17</v>
      </c>
      <c r="G9" s="5">
        <v>8</v>
      </c>
      <c r="H9" s="7">
        <v>291.67</v>
      </c>
      <c r="I9" s="7">
        <v>2333.36</v>
      </c>
      <c r="J9" s="7">
        <v>2768.61</v>
      </c>
      <c r="K9" s="5" t="str">
        <f t="shared" si="0"/>
        <v>Dec 2024</v>
      </c>
      <c r="L9" s="7">
        <f t="shared" si="1"/>
        <v>-435.25</v>
      </c>
      <c r="M9" s="5" t="str">
        <f t="shared" si="2"/>
        <v>Missed</v>
      </c>
    </row>
    <row r="10" spans="1:13" x14ac:dyDescent="0.3">
      <c r="A10" s="2" t="s">
        <v>37</v>
      </c>
      <c r="B10" s="3">
        <v>45343</v>
      </c>
      <c r="C10" s="2" t="s">
        <v>35</v>
      </c>
      <c r="D10" s="2" t="s">
        <v>20</v>
      </c>
      <c r="E10" s="2" t="s">
        <v>38</v>
      </c>
      <c r="F10" s="2" t="s">
        <v>31</v>
      </c>
      <c r="G10" s="2">
        <v>12</v>
      </c>
      <c r="H10" s="4">
        <v>63.02</v>
      </c>
      <c r="I10" s="4">
        <v>756.24</v>
      </c>
      <c r="J10" s="4">
        <v>666.49</v>
      </c>
      <c r="K10" s="2" t="str">
        <f t="shared" si="0"/>
        <v>Feb 2024</v>
      </c>
      <c r="L10" s="4">
        <f t="shared" si="1"/>
        <v>89.75</v>
      </c>
      <c r="M10" s="2" t="str">
        <f t="shared" si="2"/>
        <v>Met</v>
      </c>
    </row>
    <row r="11" spans="1:13" x14ac:dyDescent="0.3">
      <c r="A11" s="5" t="s">
        <v>39</v>
      </c>
      <c r="B11" s="6">
        <v>45635</v>
      </c>
      <c r="C11" s="5" t="s">
        <v>14</v>
      </c>
      <c r="D11" s="5" t="s">
        <v>20</v>
      </c>
      <c r="E11" s="5" t="s">
        <v>30</v>
      </c>
      <c r="F11" s="5" t="s">
        <v>31</v>
      </c>
      <c r="G11" s="5">
        <v>3</v>
      </c>
      <c r="H11" s="7">
        <v>129.05000000000001</v>
      </c>
      <c r="I11" s="7">
        <v>387.15</v>
      </c>
      <c r="J11" s="7">
        <v>427.63</v>
      </c>
      <c r="K11" s="5" t="str">
        <f t="shared" si="0"/>
        <v>Dec 2024</v>
      </c>
      <c r="L11" s="7">
        <f t="shared" si="1"/>
        <v>-40.480000000000018</v>
      </c>
      <c r="M11" s="5" t="str">
        <f t="shared" si="2"/>
        <v>Missed</v>
      </c>
    </row>
    <row r="12" spans="1:13" x14ac:dyDescent="0.3">
      <c r="A12" s="2" t="s">
        <v>40</v>
      </c>
      <c r="B12" s="3">
        <v>45375</v>
      </c>
      <c r="C12" s="2" t="s">
        <v>35</v>
      </c>
      <c r="D12" s="2" t="s">
        <v>15</v>
      </c>
      <c r="E12" s="2" t="s">
        <v>27</v>
      </c>
      <c r="F12" s="2" t="s">
        <v>22</v>
      </c>
      <c r="G12" s="2">
        <v>18</v>
      </c>
      <c r="H12" s="4">
        <v>14.92</v>
      </c>
      <c r="I12" s="4">
        <v>268.56</v>
      </c>
      <c r="J12" s="4">
        <v>244.34</v>
      </c>
      <c r="K12" s="2" t="str">
        <f t="shared" si="0"/>
        <v>Mar 2024</v>
      </c>
      <c r="L12" s="4">
        <f t="shared" si="1"/>
        <v>24.22</v>
      </c>
      <c r="M12" s="2" t="str">
        <f t="shared" si="2"/>
        <v>Met</v>
      </c>
    </row>
    <row r="13" spans="1:13" x14ac:dyDescent="0.3">
      <c r="A13" s="5" t="s">
        <v>41</v>
      </c>
      <c r="B13" s="6">
        <v>45409</v>
      </c>
      <c r="C13" s="5" t="s">
        <v>14</v>
      </c>
      <c r="D13" s="5" t="s">
        <v>42</v>
      </c>
      <c r="E13" s="5" t="s">
        <v>43</v>
      </c>
      <c r="F13" s="5" t="s">
        <v>17</v>
      </c>
      <c r="G13" s="5">
        <v>13</v>
      </c>
      <c r="H13" s="7">
        <v>936.07</v>
      </c>
      <c r="I13" s="7">
        <v>12168.91</v>
      </c>
      <c r="J13" s="7">
        <v>11364.19</v>
      </c>
      <c r="K13" s="5" t="str">
        <f t="shared" si="0"/>
        <v>Apr 2024</v>
      </c>
      <c r="L13" s="7">
        <f t="shared" si="1"/>
        <v>804.71999999999935</v>
      </c>
      <c r="M13" s="5" t="str">
        <f t="shared" si="2"/>
        <v>Met</v>
      </c>
    </row>
    <row r="14" spans="1:13" x14ac:dyDescent="0.3">
      <c r="A14" s="2" t="s">
        <v>44</v>
      </c>
      <c r="B14" s="3">
        <v>45400</v>
      </c>
      <c r="C14" s="2" t="s">
        <v>14</v>
      </c>
      <c r="D14" s="2" t="s">
        <v>20</v>
      </c>
      <c r="E14" s="2" t="s">
        <v>27</v>
      </c>
      <c r="F14" s="2" t="s">
        <v>22</v>
      </c>
      <c r="G14" s="2">
        <v>15</v>
      </c>
      <c r="H14" s="4">
        <v>14.98</v>
      </c>
      <c r="I14" s="4">
        <v>224.7</v>
      </c>
      <c r="J14" s="4">
        <v>195.81</v>
      </c>
      <c r="K14" s="2" t="str">
        <f t="shared" si="0"/>
        <v>Apr 2024</v>
      </c>
      <c r="L14" s="4">
        <f t="shared" si="1"/>
        <v>28.889999999999986</v>
      </c>
      <c r="M14" s="2" t="str">
        <f t="shared" si="2"/>
        <v>Met</v>
      </c>
    </row>
    <row r="15" spans="1:13" x14ac:dyDescent="0.3">
      <c r="A15" s="5" t="s">
        <v>45</v>
      </c>
      <c r="B15" s="6">
        <v>45579</v>
      </c>
      <c r="C15" s="5" t="s">
        <v>24</v>
      </c>
      <c r="D15" s="5" t="s">
        <v>25</v>
      </c>
      <c r="E15" s="5" t="s">
        <v>21</v>
      </c>
      <c r="F15" s="5" t="s">
        <v>22</v>
      </c>
      <c r="G15" s="5">
        <v>19</v>
      </c>
      <c r="H15" s="7">
        <v>21.25</v>
      </c>
      <c r="I15" s="7">
        <v>403.75</v>
      </c>
      <c r="J15" s="7">
        <v>409.49</v>
      </c>
      <c r="K15" s="5" t="str">
        <f t="shared" si="0"/>
        <v>Oct 2024</v>
      </c>
      <c r="L15" s="7">
        <f t="shared" si="1"/>
        <v>-5.7400000000000091</v>
      </c>
      <c r="M15" s="5" t="str">
        <f t="shared" si="2"/>
        <v>Missed</v>
      </c>
    </row>
    <row r="16" spans="1:13" x14ac:dyDescent="0.3">
      <c r="A16" s="2" t="s">
        <v>46</v>
      </c>
      <c r="B16" s="3">
        <v>45477</v>
      </c>
      <c r="C16" s="2" t="s">
        <v>19</v>
      </c>
      <c r="D16" s="2" t="s">
        <v>15</v>
      </c>
      <c r="E16" s="2" t="s">
        <v>47</v>
      </c>
      <c r="F16" s="2" t="s">
        <v>48</v>
      </c>
      <c r="G16" s="2">
        <v>5</v>
      </c>
      <c r="H16" s="4">
        <v>517.20000000000005</v>
      </c>
      <c r="I16" s="4">
        <v>2586</v>
      </c>
      <c r="J16" s="4">
        <v>2727.62</v>
      </c>
      <c r="K16" s="2" t="str">
        <f t="shared" si="0"/>
        <v>Jul 2024</v>
      </c>
      <c r="L16" s="4">
        <f t="shared" si="1"/>
        <v>-141.61999999999989</v>
      </c>
      <c r="M16" s="2" t="str">
        <f t="shared" si="2"/>
        <v>Missed</v>
      </c>
    </row>
    <row r="17" spans="1:13" x14ac:dyDescent="0.3">
      <c r="A17" s="5" t="s">
        <v>49</v>
      </c>
      <c r="B17" s="6">
        <v>45348</v>
      </c>
      <c r="C17" s="5" t="s">
        <v>29</v>
      </c>
      <c r="D17" s="5" t="s">
        <v>25</v>
      </c>
      <c r="E17" s="5" t="s">
        <v>50</v>
      </c>
      <c r="F17" s="5" t="s">
        <v>48</v>
      </c>
      <c r="G17" s="5">
        <v>14</v>
      </c>
      <c r="H17" s="7">
        <v>221.94</v>
      </c>
      <c r="I17" s="7">
        <v>3107.16</v>
      </c>
      <c r="J17" s="7">
        <v>3412.3</v>
      </c>
      <c r="K17" s="5" t="str">
        <f t="shared" si="0"/>
        <v>Feb 2024</v>
      </c>
      <c r="L17" s="7">
        <f t="shared" si="1"/>
        <v>-305.14000000000033</v>
      </c>
      <c r="M17" s="5" t="str">
        <f t="shared" si="2"/>
        <v>Missed</v>
      </c>
    </row>
    <row r="18" spans="1:13" x14ac:dyDescent="0.3">
      <c r="A18" s="2" t="s">
        <v>51</v>
      </c>
      <c r="B18" s="3">
        <v>45597</v>
      </c>
      <c r="C18" s="2" t="s">
        <v>19</v>
      </c>
      <c r="D18" s="2" t="s">
        <v>15</v>
      </c>
      <c r="E18" s="2" t="s">
        <v>27</v>
      </c>
      <c r="F18" s="2" t="s">
        <v>22</v>
      </c>
      <c r="G18" s="2">
        <v>18</v>
      </c>
      <c r="H18" s="4">
        <v>15.48</v>
      </c>
      <c r="I18" s="4">
        <v>278.64</v>
      </c>
      <c r="J18" s="4">
        <v>342.84</v>
      </c>
      <c r="K18" s="2" t="str">
        <f t="shared" si="0"/>
        <v>Nov 2024</v>
      </c>
      <c r="L18" s="4">
        <f t="shared" si="1"/>
        <v>-64.199999999999989</v>
      </c>
      <c r="M18" s="2" t="str">
        <f t="shared" si="2"/>
        <v>Missed</v>
      </c>
    </row>
    <row r="19" spans="1:13" x14ac:dyDescent="0.3">
      <c r="A19" s="5" t="s">
        <v>52</v>
      </c>
      <c r="B19" s="6">
        <v>45641</v>
      </c>
      <c r="C19" s="5" t="s">
        <v>29</v>
      </c>
      <c r="D19" s="5" t="s">
        <v>20</v>
      </c>
      <c r="E19" s="5" t="s">
        <v>21</v>
      </c>
      <c r="F19" s="5" t="s">
        <v>22</v>
      </c>
      <c r="G19" s="5">
        <v>11</v>
      </c>
      <c r="H19" s="7">
        <v>23.93</v>
      </c>
      <c r="I19" s="7">
        <v>263.23</v>
      </c>
      <c r="J19" s="7">
        <v>225.27</v>
      </c>
      <c r="K19" s="5" t="str">
        <f t="shared" si="0"/>
        <v>Dec 2024</v>
      </c>
      <c r="L19" s="7">
        <f t="shared" si="1"/>
        <v>37.960000000000008</v>
      </c>
      <c r="M19" s="5" t="str">
        <f t="shared" si="2"/>
        <v>Met</v>
      </c>
    </row>
    <row r="20" spans="1:13" x14ac:dyDescent="0.3">
      <c r="A20" s="2" t="s">
        <v>53</v>
      </c>
      <c r="B20" s="3">
        <v>45524</v>
      </c>
      <c r="C20" s="2" t="s">
        <v>14</v>
      </c>
      <c r="D20" s="2" t="s">
        <v>15</v>
      </c>
      <c r="E20" s="2" t="s">
        <v>43</v>
      </c>
      <c r="F20" s="2" t="s">
        <v>17</v>
      </c>
      <c r="G20" s="2">
        <v>9</v>
      </c>
      <c r="H20" s="4">
        <v>967.69</v>
      </c>
      <c r="I20" s="4">
        <v>8709.2099999999991</v>
      </c>
      <c r="J20" s="4">
        <v>11199.56</v>
      </c>
      <c r="K20" s="2" t="str">
        <f t="shared" si="0"/>
        <v>Aug 2024</v>
      </c>
      <c r="L20" s="4">
        <f t="shared" si="1"/>
        <v>-2490.3500000000004</v>
      </c>
      <c r="M20" s="2" t="str">
        <f t="shared" si="2"/>
        <v>Missed</v>
      </c>
    </row>
    <row r="21" spans="1:13" x14ac:dyDescent="0.3">
      <c r="A21" s="5" t="s">
        <v>54</v>
      </c>
      <c r="B21" s="6">
        <v>45612</v>
      </c>
      <c r="C21" s="5" t="s">
        <v>14</v>
      </c>
      <c r="D21" s="5" t="s">
        <v>42</v>
      </c>
      <c r="E21" s="5" t="s">
        <v>30</v>
      </c>
      <c r="F21" s="5" t="s">
        <v>31</v>
      </c>
      <c r="G21" s="5">
        <v>17</v>
      </c>
      <c r="H21" s="7">
        <v>133.25</v>
      </c>
      <c r="I21" s="7">
        <v>2265.25</v>
      </c>
      <c r="J21" s="7">
        <v>2501.9299999999998</v>
      </c>
      <c r="K21" s="5" t="str">
        <f t="shared" si="0"/>
        <v>Nov 2024</v>
      </c>
      <c r="L21" s="7">
        <f t="shared" si="1"/>
        <v>-236.67999999999984</v>
      </c>
      <c r="M21" s="5" t="str">
        <f t="shared" si="2"/>
        <v>Missed</v>
      </c>
    </row>
    <row r="22" spans="1:13" x14ac:dyDescent="0.3">
      <c r="A22" s="2" t="s">
        <v>55</v>
      </c>
      <c r="B22" s="3">
        <v>45374</v>
      </c>
      <c r="C22" s="2" t="s">
        <v>24</v>
      </c>
      <c r="D22" s="2" t="s">
        <v>42</v>
      </c>
      <c r="E22" s="2" t="s">
        <v>21</v>
      </c>
      <c r="F22" s="2" t="s">
        <v>22</v>
      </c>
      <c r="G22" s="2">
        <v>17</v>
      </c>
      <c r="H22" s="4">
        <v>25.04</v>
      </c>
      <c r="I22" s="4">
        <v>425.68</v>
      </c>
      <c r="J22" s="4">
        <v>536.04</v>
      </c>
      <c r="K22" s="2" t="str">
        <f t="shared" si="0"/>
        <v>Mar 2024</v>
      </c>
      <c r="L22" s="4">
        <f t="shared" si="1"/>
        <v>-110.35999999999996</v>
      </c>
      <c r="M22" s="2" t="str">
        <f t="shared" si="2"/>
        <v>Missed</v>
      </c>
    </row>
    <row r="23" spans="1:13" x14ac:dyDescent="0.3">
      <c r="A23" s="5" t="s">
        <v>56</v>
      </c>
      <c r="B23" s="6">
        <v>45542</v>
      </c>
      <c r="C23" s="5" t="s">
        <v>35</v>
      </c>
      <c r="D23" s="5" t="s">
        <v>20</v>
      </c>
      <c r="E23" s="5" t="s">
        <v>43</v>
      </c>
      <c r="F23" s="5" t="s">
        <v>17</v>
      </c>
      <c r="G23" s="5">
        <v>12</v>
      </c>
      <c r="H23" s="7">
        <v>788.77</v>
      </c>
      <c r="I23" s="7">
        <v>9465.24</v>
      </c>
      <c r="J23" s="7">
        <v>11730.85</v>
      </c>
      <c r="K23" s="5" t="str">
        <f t="shared" si="0"/>
        <v>Sep 2024</v>
      </c>
      <c r="L23" s="7">
        <f t="shared" si="1"/>
        <v>-2265.6100000000006</v>
      </c>
      <c r="M23" s="5" t="str">
        <f t="shared" si="2"/>
        <v>Missed</v>
      </c>
    </row>
    <row r="24" spans="1:13" x14ac:dyDescent="0.3">
      <c r="A24" s="2" t="s">
        <v>57</v>
      </c>
      <c r="B24" s="3">
        <v>45321</v>
      </c>
      <c r="C24" s="2" t="s">
        <v>29</v>
      </c>
      <c r="D24" s="2" t="s">
        <v>15</v>
      </c>
      <c r="E24" s="2" t="s">
        <v>47</v>
      </c>
      <c r="F24" s="2" t="s">
        <v>48</v>
      </c>
      <c r="G24" s="2">
        <v>3</v>
      </c>
      <c r="H24" s="4">
        <v>503.78</v>
      </c>
      <c r="I24" s="4">
        <v>1511.34</v>
      </c>
      <c r="J24" s="4">
        <v>1273.8</v>
      </c>
      <c r="K24" s="2" t="str">
        <f t="shared" si="0"/>
        <v>Jan 2024</v>
      </c>
      <c r="L24" s="4">
        <f t="shared" si="1"/>
        <v>237.53999999999996</v>
      </c>
      <c r="M24" s="2" t="str">
        <f t="shared" si="2"/>
        <v>Met</v>
      </c>
    </row>
    <row r="25" spans="1:13" x14ac:dyDescent="0.3">
      <c r="A25" s="5" t="s">
        <v>58</v>
      </c>
      <c r="B25" s="6">
        <v>45564</v>
      </c>
      <c r="C25" s="5" t="s">
        <v>14</v>
      </c>
      <c r="D25" s="5" t="s">
        <v>42</v>
      </c>
      <c r="E25" s="5" t="s">
        <v>50</v>
      </c>
      <c r="F25" s="5" t="s">
        <v>48</v>
      </c>
      <c r="G25" s="5">
        <v>16</v>
      </c>
      <c r="H25" s="7">
        <v>195.74</v>
      </c>
      <c r="I25" s="7">
        <v>3131.84</v>
      </c>
      <c r="J25" s="7">
        <v>3988.16</v>
      </c>
      <c r="K25" s="5" t="str">
        <f t="shared" si="0"/>
        <v>Sep 2024</v>
      </c>
      <c r="L25" s="7">
        <f t="shared" si="1"/>
        <v>-856.31999999999971</v>
      </c>
      <c r="M25" s="5" t="str">
        <f t="shared" si="2"/>
        <v>Missed</v>
      </c>
    </row>
    <row r="26" spans="1:13" x14ac:dyDescent="0.3">
      <c r="A26" s="2" t="s">
        <v>59</v>
      </c>
      <c r="B26" s="3">
        <v>45562</v>
      </c>
      <c r="C26" s="2" t="s">
        <v>14</v>
      </c>
      <c r="D26" s="2" t="s">
        <v>42</v>
      </c>
      <c r="E26" s="2" t="s">
        <v>60</v>
      </c>
      <c r="F26" s="2" t="s">
        <v>17</v>
      </c>
      <c r="G26" s="2">
        <v>7</v>
      </c>
      <c r="H26" s="4">
        <v>45.26</v>
      </c>
      <c r="I26" s="4">
        <v>316.82</v>
      </c>
      <c r="J26" s="4">
        <v>400.61</v>
      </c>
      <c r="K26" s="2" t="str">
        <f t="shared" si="0"/>
        <v>Sep 2024</v>
      </c>
      <c r="L26" s="4">
        <f t="shared" si="1"/>
        <v>-83.79000000000002</v>
      </c>
      <c r="M26" s="2" t="str">
        <f t="shared" si="2"/>
        <v>Missed</v>
      </c>
    </row>
    <row r="27" spans="1:13" x14ac:dyDescent="0.3">
      <c r="A27" s="5" t="s">
        <v>61</v>
      </c>
      <c r="B27" s="6">
        <v>45496</v>
      </c>
      <c r="C27" s="5" t="s">
        <v>14</v>
      </c>
      <c r="D27" s="5" t="s">
        <v>20</v>
      </c>
      <c r="E27" s="5" t="s">
        <v>33</v>
      </c>
      <c r="F27" s="5" t="s">
        <v>31</v>
      </c>
      <c r="G27" s="5">
        <v>17</v>
      </c>
      <c r="H27" s="7">
        <v>85.81</v>
      </c>
      <c r="I27" s="7">
        <v>1458.77</v>
      </c>
      <c r="J27" s="7">
        <v>1496.32</v>
      </c>
      <c r="K27" s="5" t="str">
        <f t="shared" si="0"/>
        <v>Jul 2024</v>
      </c>
      <c r="L27" s="7">
        <f t="shared" si="1"/>
        <v>-37.549999999999955</v>
      </c>
      <c r="M27" s="5" t="str">
        <f t="shared" si="2"/>
        <v>Missed</v>
      </c>
    </row>
    <row r="28" spans="1:13" x14ac:dyDescent="0.3">
      <c r="A28" s="2" t="s">
        <v>62</v>
      </c>
      <c r="B28" s="3">
        <v>45324</v>
      </c>
      <c r="C28" s="2" t="s">
        <v>14</v>
      </c>
      <c r="D28" s="2" t="s">
        <v>15</v>
      </c>
      <c r="E28" s="2" t="s">
        <v>33</v>
      </c>
      <c r="F28" s="2" t="s">
        <v>31</v>
      </c>
      <c r="G28" s="2">
        <v>18</v>
      </c>
      <c r="H28" s="4">
        <v>76.95</v>
      </c>
      <c r="I28" s="4">
        <v>1385.1</v>
      </c>
      <c r="J28" s="4">
        <v>1267.45</v>
      </c>
      <c r="K28" s="2" t="str">
        <f t="shared" si="0"/>
        <v>Feb 2024</v>
      </c>
      <c r="L28" s="4">
        <f t="shared" si="1"/>
        <v>117.64999999999986</v>
      </c>
      <c r="M28" s="2" t="str">
        <f t="shared" si="2"/>
        <v>Met</v>
      </c>
    </row>
    <row r="29" spans="1:13" x14ac:dyDescent="0.3">
      <c r="A29" s="5" t="s">
        <v>63</v>
      </c>
      <c r="B29" s="6">
        <v>45328</v>
      </c>
      <c r="C29" s="5" t="s">
        <v>19</v>
      </c>
      <c r="D29" s="5" t="s">
        <v>20</v>
      </c>
      <c r="E29" s="5" t="s">
        <v>43</v>
      </c>
      <c r="F29" s="5" t="s">
        <v>17</v>
      </c>
      <c r="G29" s="5">
        <v>2</v>
      </c>
      <c r="H29" s="7">
        <v>813.65</v>
      </c>
      <c r="I29" s="7">
        <v>1627.3</v>
      </c>
      <c r="J29" s="7">
        <v>2001.28</v>
      </c>
      <c r="K29" s="5" t="str">
        <f t="shared" si="0"/>
        <v>Feb 2024</v>
      </c>
      <c r="L29" s="7">
        <f t="shared" si="1"/>
        <v>-373.98</v>
      </c>
      <c r="M29" s="5" t="str">
        <f t="shared" si="2"/>
        <v>Missed</v>
      </c>
    </row>
    <row r="30" spans="1:13" x14ac:dyDescent="0.3">
      <c r="A30" s="2" t="s">
        <v>64</v>
      </c>
      <c r="B30" s="3">
        <v>45434</v>
      </c>
      <c r="C30" s="2" t="s">
        <v>24</v>
      </c>
      <c r="D30" s="2" t="s">
        <v>25</v>
      </c>
      <c r="E30" s="2" t="s">
        <v>27</v>
      </c>
      <c r="F30" s="2" t="s">
        <v>22</v>
      </c>
      <c r="G30" s="2">
        <v>5</v>
      </c>
      <c r="H30" s="4">
        <v>14.3</v>
      </c>
      <c r="I30" s="4">
        <v>71.5</v>
      </c>
      <c r="J30" s="4">
        <v>83.06</v>
      </c>
      <c r="K30" s="2" t="str">
        <f t="shared" si="0"/>
        <v>May 2024</v>
      </c>
      <c r="L30" s="4">
        <f t="shared" si="1"/>
        <v>-11.560000000000002</v>
      </c>
      <c r="M30" s="2" t="str">
        <f t="shared" si="2"/>
        <v>Missed</v>
      </c>
    </row>
    <row r="31" spans="1:13" x14ac:dyDescent="0.3">
      <c r="A31" s="5" t="s">
        <v>65</v>
      </c>
      <c r="B31" s="6">
        <v>45416</v>
      </c>
      <c r="C31" s="5" t="s">
        <v>29</v>
      </c>
      <c r="D31" s="5" t="s">
        <v>42</v>
      </c>
      <c r="E31" s="5" t="s">
        <v>27</v>
      </c>
      <c r="F31" s="5" t="s">
        <v>22</v>
      </c>
      <c r="G31" s="5">
        <v>7</v>
      </c>
      <c r="H31" s="7">
        <v>16.53</v>
      </c>
      <c r="I31" s="7">
        <v>115.71</v>
      </c>
      <c r="J31" s="7">
        <v>98.03</v>
      </c>
      <c r="K31" s="5" t="str">
        <f t="shared" si="0"/>
        <v>May 2024</v>
      </c>
      <c r="L31" s="7">
        <f t="shared" si="1"/>
        <v>17.679999999999993</v>
      </c>
      <c r="M31" s="5" t="str">
        <f t="shared" si="2"/>
        <v>Met</v>
      </c>
    </row>
    <row r="32" spans="1:13" x14ac:dyDescent="0.3">
      <c r="A32" s="2" t="s">
        <v>66</v>
      </c>
      <c r="B32" s="3">
        <v>45508</v>
      </c>
      <c r="C32" s="2" t="s">
        <v>19</v>
      </c>
      <c r="D32" s="2" t="s">
        <v>15</v>
      </c>
      <c r="E32" s="2" t="s">
        <v>38</v>
      </c>
      <c r="F32" s="2" t="s">
        <v>31</v>
      </c>
      <c r="G32" s="2">
        <v>2</v>
      </c>
      <c r="H32" s="4">
        <v>66.09</v>
      </c>
      <c r="I32" s="4">
        <v>132.18</v>
      </c>
      <c r="J32" s="4">
        <v>150.25</v>
      </c>
      <c r="K32" s="2" t="str">
        <f t="shared" si="0"/>
        <v>Aug 2024</v>
      </c>
      <c r="L32" s="4">
        <f t="shared" si="1"/>
        <v>-18.069999999999993</v>
      </c>
      <c r="M32" s="2" t="str">
        <f t="shared" si="2"/>
        <v>Missed</v>
      </c>
    </row>
    <row r="33" spans="1:13" x14ac:dyDescent="0.3">
      <c r="A33" s="5" t="s">
        <v>67</v>
      </c>
      <c r="B33" s="6">
        <v>45498</v>
      </c>
      <c r="C33" s="5" t="s">
        <v>14</v>
      </c>
      <c r="D33" s="5" t="s">
        <v>25</v>
      </c>
      <c r="E33" s="5" t="s">
        <v>33</v>
      </c>
      <c r="F33" s="5" t="s">
        <v>31</v>
      </c>
      <c r="G33" s="5">
        <v>4</v>
      </c>
      <c r="H33" s="7">
        <v>93.51</v>
      </c>
      <c r="I33" s="7">
        <v>374.04</v>
      </c>
      <c r="J33" s="7">
        <v>345.74</v>
      </c>
      <c r="K33" s="5" t="str">
        <f t="shared" si="0"/>
        <v>Jul 2024</v>
      </c>
      <c r="L33" s="7">
        <f t="shared" si="1"/>
        <v>28.300000000000011</v>
      </c>
      <c r="M33" s="5" t="str">
        <f t="shared" si="2"/>
        <v>Met</v>
      </c>
    </row>
    <row r="34" spans="1:13" x14ac:dyDescent="0.3">
      <c r="A34" s="2" t="s">
        <v>68</v>
      </c>
      <c r="B34" s="3">
        <v>45363</v>
      </c>
      <c r="C34" s="2" t="s">
        <v>19</v>
      </c>
      <c r="D34" s="2" t="s">
        <v>25</v>
      </c>
      <c r="E34" s="2" t="s">
        <v>38</v>
      </c>
      <c r="F34" s="2" t="s">
        <v>31</v>
      </c>
      <c r="G34" s="2">
        <v>15</v>
      </c>
      <c r="H34" s="4">
        <v>61.48</v>
      </c>
      <c r="I34" s="4">
        <v>922.2</v>
      </c>
      <c r="J34" s="4">
        <v>852.95</v>
      </c>
      <c r="K34" s="2" t="str">
        <f t="shared" ref="K34:K65" si="3">TEXT(B34,"MMM YYYY")</f>
        <v>Mar 2024</v>
      </c>
      <c r="L34" s="4">
        <f t="shared" ref="L34:L65" si="4">I34-J34</f>
        <v>69.25</v>
      </c>
      <c r="M34" s="2" t="str">
        <f t="shared" ref="M34:M65" si="5">IF(I34&gt;=J34,"Met","Missed")</f>
        <v>Met</v>
      </c>
    </row>
    <row r="35" spans="1:13" x14ac:dyDescent="0.3">
      <c r="A35" s="5" t="s">
        <v>69</v>
      </c>
      <c r="B35" s="6">
        <v>45573</v>
      </c>
      <c r="C35" s="5" t="s">
        <v>19</v>
      </c>
      <c r="D35" s="5" t="s">
        <v>20</v>
      </c>
      <c r="E35" s="5" t="s">
        <v>16</v>
      </c>
      <c r="F35" s="5" t="s">
        <v>17</v>
      </c>
      <c r="G35" s="5">
        <v>18</v>
      </c>
      <c r="H35" s="7">
        <v>292.05</v>
      </c>
      <c r="I35" s="7">
        <v>5256.9</v>
      </c>
      <c r="J35" s="7">
        <v>6402.98</v>
      </c>
      <c r="K35" s="5" t="str">
        <f t="shared" si="3"/>
        <v>Oct 2024</v>
      </c>
      <c r="L35" s="7">
        <f t="shared" si="4"/>
        <v>-1146.08</v>
      </c>
      <c r="M35" s="5" t="str">
        <f t="shared" si="5"/>
        <v>Missed</v>
      </c>
    </row>
    <row r="36" spans="1:13" x14ac:dyDescent="0.3">
      <c r="A36" s="2" t="s">
        <v>70</v>
      </c>
      <c r="B36" s="3">
        <v>45377</v>
      </c>
      <c r="C36" s="2" t="s">
        <v>19</v>
      </c>
      <c r="D36" s="2" t="s">
        <v>20</v>
      </c>
      <c r="E36" s="2" t="s">
        <v>38</v>
      </c>
      <c r="F36" s="2" t="s">
        <v>31</v>
      </c>
      <c r="G36" s="2">
        <v>7</v>
      </c>
      <c r="H36" s="4">
        <v>66.39</v>
      </c>
      <c r="I36" s="4">
        <v>464.73</v>
      </c>
      <c r="J36" s="4">
        <v>572.70000000000005</v>
      </c>
      <c r="K36" s="2" t="str">
        <f t="shared" si="3"/>
        <v>Mar 2024</v>
      </c>
      <c r="L36" s="4">
        <f t="shared" si="4"/>
        <v>-107.97000000000003</v>
      </c>
      <c r="M36" s="2" t="str">
        <f t="shared" si="5"/>
        <v>Missed</v>
      </c>
    </row>
    <row r="37" spans="1:13" x14ac:dyDescent="0.3">
      <c r="A37" s="5" t="s">
        <v>71</v>
      </c>
      <c r="B37" s="6">
        <v>45486</v>
      </c>
      <c r="C37" s="5" t="s">
        <v>29</v>
      </c>
      <c r="D37" s="5" t="s">
        <v>42</v>
      </c>
      <c r="E37" s="5" t="s">
        <v>43</v>
      </c>
      <c r="F37" s="5" t="s">
        <v>17</v>
      </c>
      <c r="G37" s="5">
        <v>9</v>
      </c>
      <c r="H37" s="7">
        <v>974.38</v>
      </c>
      <c r="I37" s="7">
        <v>8769.42</v>
      </c>
      <c r="J37" s="7">
        <v>11078.05</v>
      </c>
      <c r="K37" s="5" t="str">
        <f t="shared" si="3"/>
        <v>Jul 2024</v>
      </c>
      <c r="L37" s="7">
        <f t="shared" si="4"/>
        <v>-2308.6299999999992</v>
      </c>
      <c r="M37" s="5" t="str">
        <f t="shared" si="5"/>
        <v>Missed</v>
      </c>
    </row>
    <row r="38" spans="1:13" x14ac:dyDescent="0.3">
      <c r="A38" s="2" t="s">
        <v>72</v>
      </c>
      <c r="B38" s="3">
        <v>45508</v>
      </c>
      <c r="C38" s="2" t="s">
        <v>35</v>
      </c>
      <c r="D38" s="2" t="s">
        <v>20</v>
      </c>
      <c r="E38" s="2" t="s">
        <v>21</v>
      </c>
      <c r="F38" s="2" t="s">
        <v>22</v>
      </c>
      <c r="G38" s="2">
        <v>16</v>
      </c>
      <c r="H38" s="4">
        <v>23.44</v>
      </c>
      <c r="I38" s="4">
        <v>375.04</v>
      </c>
      <c r="J38" s="4">
        <v>329.06</v>
      </c>
      <c r="K38" s="2" t="str">
        <f t="shared" si="3"/>
        <v>Aug 2024</v>
      </c>
      <c r="L38" s="4">
        <f t="shared" si="4"/>
        <v>45.980000000000018</v>
      </c>
      <c r="M38" s="2" t="str">
        <f t="shared" si="5"/>
        <v>Met</v>
      </c>
    </row>
    <row r="39" spans="1:13" x14ac:dyDescent="0.3">
      <c r="A39" s="5" t="s">
        <v>73</v>
      </c>
      <c r="B39" s="6">
        <v>45321</v>
      </c>
      <c r="C39" s="5" t="s">
        <v>19</v>
      </c>
      <c r="D39" s="5" t="s">
        <v>15</v>
      </c>
      <c r="E39" s="5" t="s">
        <v>60</v>
      </c>
      <c r="F39" s="5" t="s">
        <v>17</v>
      </c>
      <c r="G39" s="5">
        <v>2</v>
      </c>
      <c r="H39" s="7">
        <v>48.78</v>
      </c>
      <c r="I39" s="7">
        <v>97.56</v>
      </c>
      <c r="J39" s="7">
        <v>114.53</v>
      </c>
      <c r="K39" s="5" t="str">
        <f t="shared" si="3"/>
        <v>Jan 2024</v>
      </c>
      <c r="L39" s="7">
        <f t="shared" si="4"/>
        <v>-16.97</v>
      </c>
      <c r="M39" s="5" t="str">
        <f t="shared" si="5"/>
        <v>Missed</v>
      </c>
    </row>
    <row r="40" spans="1:13" x14ac:dyDescent="0.3">
      <c r="A40" s="2" t="s">
        <v>74</v>
      </c>
      <c r="B40" s="3">
        <v>45591</v>
      </c>
      <c r="C40" s="2" t="s">
        <v>24</v>
      </c>
      <c r="D40" s="2" t="s">
        <v>15</v>
      </c>
      <c r="E40" s="2" t="s">
        <v>27</v>
      </c>
      <c r="F40" s="2" t="s">
        <v>22</v>
      </c>
      <c r="G40" s="2">
        <v>17</v>
      </c>
      <c r="H40" s="4">
        <v>15.39</v>
      </c>
      <c r="I40" s="4">
        <v>261.63</v>
      </c>
      <c r="J40" s="4">
        <v>229.9</v>
      </c>
      <c r="K40" s="2" t="str">
        <f t="shared" si="3"/>
        <v>Oct 2024</v>
      </c>
      <c r="L40" s="4">
        <f t="shared" si="4"/>
        <v>31.72999999999999</v>
      </c>
      <c r="M40" s="2" t="str">
        <f t="shared" si="5"/>
        <v>Met</v>
      </c>
    </row>
    <row r="41" spans="1:13" x14ac:dyDescent="0.3">
      <c r="A41" s="5" t="s">
        <v>75</v>
      </c>
      <c r="B41" s="6">
        <v>45387</v>
      </c>
      <c r="C41" s="5" t="s">
        <v>24</v>
      </c>
      <c r="D41" s="5" t="s">
        <v>20</v>
      </c>
      <c r="E41" s="5" t="s">
        <v>16</v>
      </c>
      <c r="F41" s="5" t="s">
        <v>17</v>
      </c>
      <c r="G41" s="5">
        <v>8</v>
      </c>
      <c r="H41" s="7">
        <v>335.6</v>
      </c>
      <c r="I41" s="7">
        <v>2684.8</v>
      </c>
      <c r="J41" s="7">
        <v>2689.87</v>
      </c>
      <c r="K41" s="5" t="str">
        <f t="shared" si="3"/>
        <v>Apr 2024</v>
      </c>
      <c r="L41" s="7">
        <f t="shared" si="4"/>
        <v>-5.069999999999709</v>
      </c>
      <c r="M41" s="5" t="str">
        <f t="shared" si="5"/>
        <v>Missed</v>
      </c>
    </row>
    <row r="42" spans="1:13" x14ac:dyDescent="0.3">
      <c r="A42" s="2" t="s">
        <v>76</v>
      </c>
      <c r="B42" s="3">
        <v>45588</v>
      </c>
      <c r="C42" s="2" t="s">
        <v>24</v>
      </c>
      <c r="D42" s="2" t="s">
        <v>42</v>
      </c>
      <c r="E42" s="2" t="s">
        <v>60</v>
      </c>
      <c r="F42" s="2" t="s">
        <v>17</v>
      </c>
      <c r="G42" s="2">
        <v>3</v>
      </c>
      <c r="H42" s="4">
        <v>40.950000000000003</v>
      </c>
      <c r="I42" s="4">
        <v>122.85</v>
      </c>
      <c r="J42" s="4">
        <v>124.03</v>
      </c>
      <c r="K42" s="2" t="str">
        <f t="shared" si="3"/>
        <v>Oct 2024</v>
      </c>
      <c r="L42" s="4">
        <f t="shared" si="4"/>
        <v>-1.1800000000000068</v>
      </c>
      <c r="M42" s="2" t="str">
        <f t="shared" si="5"/>
        <v>Missed</v>
      </c>
    </row>
    <row r="43" spans="1:13" x14ac:dyDescent="0.3">
      <c r="A43" s="5" t="s">
        <v>77</v>
      </c>
      <c r="B43" s="6">
        <v>45425</v>
      </c>
      <c r="C43" s="5" t="s">
        <v>29</v>
      </c>
      <c r="D43" s="5" t="s">
        <v>20</v>
      </c>
      <c r="E43" s="5" t="s">
        <v>47</v>
      </c>
      <c r="F43" s="5" t="s">
        <v>48</v>
      </c>
      <c r="G43" s="5">
        <v>11</v>
      </c>
      <c r="H43" s="7">
        <v>480.34</v>
      </c>
      <c r="I43" s="7">
        <v>5283.74</v>
      </c>
      <c r="J43" s="7">
        <v>4857.57</v>
      </c>
      <c r="K43" s="5" t="str">
        <f t="shared" si="3"/>
        <v>May 2024</v>
      </c>
      <c r="L43" s="7">
        <f t="shared" si="4"/>
        <v>426.17000000000007</v>
      </c>
      <c r="M43" s="5" t="str">
        <f t="shared" si="5"/>
        <v>Met</v>
      </c>
    </row>
    <row r="44" spans="1:13" x14ac:dyDescent="0.3">
      <c r="A44" s="2" t="s">
        <v>78</v>
      </c>
      <c r="B44" s="3">
        <v>45635</v>
      </c>
      <c r="C44" s="2" t="s">
        <v>24</v>
      </c>
      <c r="D44" s="2" t="s">
        <v>15</v>
      </c>
      <c r="E44" s="2" t="s">
        <v>30</v>
      </c>
      <c r="F44" s="2" t="s">
        <v>31</v>
      </c>
      <c r="G44" s="2">
        <v>3</v>
      </c>
      <c r="H44" s="4">
        <v>121.72</v>
      </c>
      <c r="I44" s="4">
        <v>365.16</v>
      </c>
      <c r="J44" s="4">
        <v>293.83</v>
      </c>
      <c r="K44" s="2" t="str">
        <f t="shared" si="3"/>
        <v>Dec 2024</v>
      </c>
      <c r="L44" s="4">
        <f t="shared" si="4"/>
        <v>71.330000000000041</v>
      </c>
      <c r="M44" s="2" t="str">
        <f t="shared" si="5"/>
        <v>Met</v>
      </c>
    </row>
    <row r="45" spans="1:13" x14ac:dyDescent="0.3">
      <c r="A45" s="5" t="s">
        <v>79</v>
      </c>
      <c r="B45" s="6">
        <v>45329</v>
      </c>
      <c r="C45" s="5" t="s">
        <v>35</v>
      </c>
      <c r="D45" s="5" t="s">
        <v>15</v>
      </c>
      <c r="E45" s="5" t="s">
        <v>21</v>
      </c>
      <c r="F45" s="5" t="s">
        <v>22</v>
      </c>
      <c r="G45" s="5">
        <v>9</v>
      </c>
      <c r="H45" s="7">
        <v>20.97</v>
      </c>
      <c r="I45" s="7">
        <v>188.73</v>
      </c>
      <c r="J45" s="7">
        <v>163.47999999999999</v>
      </c>
      <c r="K45" s="5" t="str">
        <f t="shared" si="3"/>
        <v>Feb 2024</v>
      </c>
      <c r="L45" s="7">
        <f t="shared" si="4"/>
        <v>25.25</v>
      </c>
      <c r="M45" s="5" t="str">
        <f t="shared" si="5"/>
        <v>Met</v>
      </c>
    </row>
    <row r="46" spans="1:13" x14ac:dyDescent="0.3">
      <c r="A46" s="2" t="s">
        <v>80</v>
      </c>
      <c r="B46" s="3">
        <v>45417</v>
      </c>
      <c r="C46" s="2" t="s">
        <v>35</v>
      </c>
      <c r="D46" s="2" t="s">
        <v>15</v>
      </c>
      <c r="E46" s="2" t="s">
        <v>33</v>
      </c>
      <c r="F46" s="2" t="s">
        <v>31</v>
      </c>
      <c r="G46" s="2">
        <v>15</v>
      </c>
      <c r="H46" s="4">
        <v>82.56</v>
      </c>
      <c r="I46" s="4">
        <v>1238.4000000000001</v>
      </c>
      <c r="J46" s="4">
        <v>1506.97</v>
      </c>
      <c r="K46" s="2" t="str">
        <f t="shared" si="3"/>
        <v>May 2024</v>
      </c>
      <c r="L46" s="4">
        <f t="shared" si="4"/>
        <v>-268.56999999999994</v>
      </c>
      <c r="M46" s="2" t="str">
        <f t="shared" si="5"/>
        <v>Missed</v>
      </c>
    </row>
    <row r="47" spans="1:13" x14ac:dyDescent="0.3">
      <c r="A47" s="5" t="s">
        <v>81</v>
      </c>
      <c r="B47" s="6">
        <v>45633</v>
      </c>
      <c r="C47" s="5" t="s">
        <v>14</v>
      </c>
      <c r="D47" s="5" t="s">
        <v>42</v>
      </c>
      <c r="E47" s="5" t="s">
        <v>21</v>
      </c>
      <c r="F47" s="5" t="s">
        <v>22</v>
      </c>
      <c r="G47" s="5">
        <v>4</v>
      </c>
      <c r="H47" s="7">
        <v>21.45</v>
      </c>
      <c r="I47" s="7">
        <v>85.8</v>
      </c>
      <c r="J47" s="7">
        <v>108.92</v>
      </c>
      <c r="K47" s="5" t="str">
        <f t="shared" si="3"/>
        <v>Dec 2024</v>
      </c>
      <c r="L47" s="7">
        <f t="shared" si="4"/>
        <v>-23.120000000000005</v>
      </c>
      <c r="M47" s="5" t="str">
        <f t="shared" si="5"/>
        <v>Missed</v>
      </c>
    </row>
    <row r="48" spans="1:13" x14ac:dyDescent="0.3">
      <c r="A48" s="2" t="s">
        <v>82</v>
      </c>
      <c r="B48" s="3">
        <v>45351</v>
      </c>
      <c r="C48" s="2" t="s">
        <v>24</v>
      </c>
      <c r="D48" s="2" t="s">
        <v>20</v>
      </c>
      <c r="E48" s="2" t="s">
        <v>16</v>
      </c>
      <c r="F48" s="2" t="s">
        <v>17</v>
      </c>
      <c r="G48" s="2">
        <v>5</v>
      </c>
      <c r="H48" s="4">
        <v>347.39</v>
      </c>
      <c r="I48" s="4">
        <v>1736.95</v>
      </c>
      <c r="J48" s="4">
        <v>1626.09</v>
      </c>
      <c r="K48" s="2" t="str">
        <f t="shared" si="3"/>
        <v>Feb 2024</v>
      </c>
      <c r="L48" s="4">
        <f t="shared" si="4"/>
        <v>110.86000000000013</v>
      </c>
      <c r="M48" s="2" t="str">
        <f t="shared" si="5"/>
        <v>Met</v>
      </c>
    </row>
    <row r="49" spans="1:13" x14ac:dyDescent="0.3">
      <c r="A49" s="5" t="s">
        <v>83</v>
      </c>
      <c r="B49" s="6">
        <v>45467</v>
      </c>
      <c r="C49" s="5" t="s">
        <v>35</v>
      </c>
      <c r="D49" s="5" t="s">
        <v>15</v>
      </c>
      <c r="E49" s="5" t="s">
        <v>47</v>
      </c>
      <c r="F49" s="5" t="s">
        <v>48</v>
      </c>
      <c r="G49" s="5">
        <v>9</v>
      </c>
      <c r="H49" s="7">
        <v>482.34</v>
      </c>
      <c r="I49" s="7">
        <v>4341.0600000000004</v>
      </c>
      <c r="J49" s="7">
        <v>4569.8500000000004</v>
      </c>
      <c r="K49" s="5" t="str">
        <f t="shared" si="3"/>
        <v>Jun 2024</v>
      </c>
      <c r="L49" s="7">
        <f t="shared" si="4"/>
        <v>-228.78999999999996</v>
      </c>
      <c r="M49" s="5" t="str">
        <f t="shared" si="5"/>
        <v>Missed</v>
      </c>
    </row>
    <row r="50" spans="1:13" x14ac:dyDescent="0.3">
      <c r="A50" s="2" t="s">
        <v>84</v>
      </c>
      <c r="B50" s="3">
        <v>45339</v>
      </c>
      <c r="C50" s="2" t="s">
        <v>14</v>
      </c>
      <c r="D50" s="2" t="s">
        <v>42</v>
      </c>
      <c r="E50" s="2" t="s">
        <v>38</v>
      </c>
      <c r="F50" s="2" t="s">
        <v>31</v>
      </c>
      <c r="G50" s="2">
        <v>2</v>
      </c>
      <c r="H50" s="4">
        <v>71.98</v>
      </c>
      <c r="I50" s="4">
        <v>143.96</v>
      </c>
      <c r="J50" s="4">
        <v>115.42</v>
      </c>
      <c r="K50" s="2" t="str">
        <f t="shared" si="3"/>
        <v>Feb 2024</v>
      </c>
      <c r="L50" s="4">
        <f t="shared" si="4"/>
        <v>28.540000000000006</v>
      </c>
      <c r="M50" s="2" t="str">
        <f t="shared" si="5"/>
        <v>Met</v>
      </c>
    </row>
    <row r="51" spans="1:13" x14ac:dyDescent="0.3">
      <c r="A51" s="5" t="s">
        <v>85</v>
      </c>
      <c r="B51" s="6">
        <v>45374</v>
      </c>
      <c r="C51" s="5" t="s">
        <v>19</v>
      </c>
      <c r="D51" s="5" t="s">
        <v>15</v>
      </c>
      <c r="E51" s="5" t="s">
        <v>27</v>
      </c>
      <c r="F51" s="5" t="s">
        <v>22</v>
      </c>
      <c r="G51" s="5">
        <v>14</v>
      </c>
      <c r="H51" s="7">
        <v>15.57</v>
      </c>
      <c r="I51" s="7">
        <v>217.98</v>
      </c>
      <c r="J51" s="7">
        <v>235.52</v>
      </c>
      <c r="K51" s="5" t="str">
        <f t="shared" si="3"/>
        <v>Mar 2024</v>
      </c>
      <c r="L51" s="7">
        <f t="shared" si="4"/>
        <v>-17.54000000000002</v>
      </c>
      <c r="M51" s="5" t="str">
        <f t="shared" si="5"/>
        <v>Missed</v>
      </c>
    </row>
    <row r="52" spans="1:13" x14ac:dyDescent="0.3">
      <c r="A52" s="2" t="s">
        <v>86</v>
      </c>
      <c r="B52" s="3">
        <v>45645</v>
      </c>
      <c r="C52" s="2" t="s">
        <v>14</v>
      </c>
      <c r="D52" s="2" t="s">
        <v>25</v>
      </c>
      <c r="E52" s="2" t="s">
        <v>50</v>
      </c>
      <c r="F52" s="2" t="s">
        <v>48</v>
      </c>
      <c r="G52" s="2">
        <v>12</v>
      </c>
      <c r="H52" s="4">
        <v>217.64</v>
      </c>
      <c r="I52" s="4">
        <v>2611.6799999999998</v>
      </c>
      <c r="J52" s="4">
        <v>2850.01</v>
      </c>
      <c r="K52" s="2" t="str">
        <f t="shared" si="3"/>
        <v>Dec 2024</v>
      </c>
      <c r="L52" s="4">
        <f t="shared" si="4"/>
        <v>-238.33000000000038</v>
      </c>
      <c r="M52" s="2" t="str">
        <f t="shared" si="5"/>
        <v>Missed</v>
      </c>
    </row>
    <row r="53" spans="1:13" x14ac:dyDescent="0.3">
      <c r="A53" s="5" t="s">
        <v>87</v>
      </c>
      <c r="B53" s="6">
        <v>45357</v>
      </c>
      <c r="C53" s="5" t="s">
        <v>14</v>
      </c>
      <c r="D53" s="5" t="s">
        <v>20</v>
      </c>
      <c r="E53" s="5" t="s">
        <v>43</v>
      </c>
      <c r="F53" s="5" t="s">
        <v>17</v>
      </c>
      <c r="G53" s="5">
        <v>2</v>
      </c>
      <c r="H53" s="7">
        <v>830.5</v>
      </c>
      <c r="I53" s="7">
        <v>1661</v>
      </c>
      <c r="J53" s="7">
        <v>2075.36</v>
      </c>
      <c r="K53" s="5" t="str">
        <f t="shared" si="3"/>
        <v>Mar 2024</v>
      </c>
      <c r="L53" s="7">
        <f t="shared" si="4"/>
        <v>-414.36000000000013</v>
      </c>
      <c r="M53" s="5" t="str">
        <f t="shared" si="5"/>
        <v>Missed</v>
      </c>
    </row>
    <row r="54" spans="1:13" x14ac:dyDescent="0.3">
      <c r="A54" s="2" t="s">
        <v>88</v>
      </c>
      <c r="B54" s="3">
        <v>45633</v>
      </c>
      <c r="C54" s="2" t="s">
        <v>29</v>
      </c>
      <c r="D54" s="2" t="s">
        <v>20</v>
      </c>
      <c r="E54" s="2" t="s">
        <v>16</v>
      </c>
      <c r="F54" s="2" t="s">
        <v>17</v>
      </c>
      <c r="G54" s="2">
        <v>18</v>
      </c>
      <c r="H54" s="4">
        <v>316.29000000000002</v>
      </c>
      <c r="I54" s="4">
        <v>5693.22</v>
      </c>
      <c r="J54" s="4">
        <v>7071.36</v>
      </c>
      <c r="K54" s="2" t="str">
        <f t="shared" si="3"/>
        <v>Dec 2024</v>
      </c>
      <c r="L54" s="4">
        <f t="shared" si="4"/>
        <v>-1378.1399999999994</v>
      </c>
      <c r="M54" s="2" t="str">
        <f t="shared" si="5"/>
        <v>Missed</v>
      </c>
    </row>
    <row r="55" spans="1:13" x14ac:dyDescent="0.3">
      <c r="A55" s="5" t="s">
        <v>89</v>
      </c>
      <c r="B55" s="6">
        <v>45413</v>
      </c>
      <c r="C55" s="5" t="s">
        <v>19</v>
      </c>
      <c r="D55" s="5" t="s">
        <v>20</v>
      </c>
      <c r="E55" s="5" t="s">
        <v>50</v>
      </c>
      <c r="F55" s="5" t="s">
        <v>48</v>
      </c>
      <c r="G55" s="5">
        <v>6</v>
      </c>
      <c r="H55" s="7">
        <v>240.25</v>
      </c>
      <c r="I55" s="7">
        <v>1441.5</v>
      </c>
      <c r="J55" s="7">
        <v>1788.48</v>
      </c>
      <c r="K55" s="5" t="str">
        <f t="shared" si="3"/>
        <v>May 2024</v>
      </c>
      <c r="L55" s="7">
        <f t="shared" si="4"/>
        <v>-346.98</v>
      </c>
      <c r="M55" s="5" t="str">
        <f t="shared" si="5"/>
        <v>Missed</v>
      </c>
    </row>
    <row r="56" spans="1:13" x14ac:dyDescent="0.3">
      <c r="A56" s="2" t="s">
        <v>90</v>
      </c>
      <c r="B56" s="3">
        <v>45462</v>
      </c>
      <c r="C56" s="2" t="s">
        <v>19</v>
      </c>
      <c r="D56" s="2" t="s">
        <v>25</v>
      </c>
      <c r="E56" s="2" t="s">
        <v>38</v>
      </c>
      <c r="F56" s="2" t="s">
        <v>31</v>
      </c>
      <c r="G56" s="2">
        <v>8</v>
      </c>
      <c r="H56" s="4">
        <v>71.540000000000006</v>
      </c>
      <c r="I56" s="4">
        <v>572.32000000000005</v>
      </c>
      <c r="J56" s="4">
        <v>534.21</v>
      </c>
      <c r="K56" s="2" t="str">
        <f t="shared" si="3"/>
        <v>Jun 2024</v>
      </c>
      <c r="L56" s="4">
        <f t="shared" si="4"/>
        <v>38.110000000000014</v>
      </c>
      <c r="M56" s="2" t="str">
        <f t="shared" si="5"/>
        <v>Met</v>
      </c>
    </row>
    <row r="57" spans="1:13" x14ac:dyDescent="0.3">
      <c r="A57" s="5" t="s">
        <v>91</v>
      </c>
      <c r="B57" s="6">
        <v>45311</v>
      </c>
      <c r="C57" s="5" t="s">
        <v>14</v>
      </c>
      <c r="D57" s="5" t="s">
        <v>20</v>
      </c>
      <c r="E57" s="5" t="s">
        <v>27</v>
      </c>
      <c r="F57" s="5" t="s">
        <v>22</v>
      </c>
      <c r="G57" s="5">
        <v>15</v>
      </c>
      <c r="H57" s="7">
        <v>14.33</v>
      </c>
      <c r="I57" s="7">
        <v>214.95</v>
      </c>
      <c r="J57" s="7">
        <v>209.54</v>
      </c>
      <c r="K57" s="5" t="str">
        <f t="shared" si="3"/>
        <v>Jan 2024</v>
      </c>
      <c r="L57" s="7">
        <f t="shared" si="4"/>
        <v>5.4099999999999966</v>
      </c>
      <c r="M57" s="5" t="str">
        <f t="shared" si="5"/>
        <v>Met</v>
      </c>
    </row>
    <row r="58" spans="1:13" x14ac:dyDescent="0.3">
      <c r="A58" s="2" t="s">
        <v>92</v>
      </c>
      <c r="B58" s="3">
        <v>45304</v>
      </c>
      <c r="C58" s="2" t="s">
        <v>35</v>
      </c>
      <c r="D58" s="2" t="s">
        <v>42</v>
      </c>
      <c r="E58" s="2" t="s">
        <v>47</v>
      </c>
      <c r="F58" s="2" t="s">
        <v>48</v>
      </c>
      <c r="G58" s="2">
        <v>9</v>
      </c>
      <c r="H58" s="4">
        <v>449.83</v>
      </c>
      <c r="I58" s="4">
        <v>4048.47</v>
      </c>
      <c r="J58" s="4">
        <v>4988.43</v>
      </c>
      <c r="K58" s="2" t="str">
        <f t="shared" si="3"/>
        <v>Jan 2024</v>
      </c>
      <c r="L58" s="4">
        <f t="shared" si="4"/>
        <v>-939.96000000000049</v>
      </c>
      <c r="M58" s="2" t="str">
        <f t="shared" si="5"/>
        <v>Missed</v>
      </c>
    </row>
    <row r="59" spans="1:13" x14ac:dyDescent="0.3">
      <c r="A59" s="5" t="s">
        <v>93</v>
      </c>
      <c r="B59" s="6">
        <v>45620</v>
      </c>
      <c r="C59" s="5" t="s">
        <v>19</v>
      </c>
      <c r="D59" s="5" t="s">
        <v>15</v>
      </c>
      <c r="E59" s="5" t="s">
        <v>21</v>
      </c>
      <c r="F59" s="5" t="s">
        <v>22</v>
      </c>
      <c r="G59" s="5">
        <v>18</v>
      </c>
      <c r="H59" s="7">
        <v>22</v>
      </c>
      <c r="I59" s="7">
        <v>396</v>
      </c>
      <c r="J59" s="7">
        <v>382.37</v>
      </c>
      <c r="K59" s="5" t="str">
        <f t="shared" si="3"/>
        <v>Nov 2024</v>
      </c>
      <c r="L59" s="7">
        <f t="shared" si="4"/>
        <v>13.629999999999995</v>
      </c>
      <c r="M59" s="5" t="str">
        <f t="shared" si="5"/>
        <v>Met</v>
      </c>
    </row>
    <row r="60" spans="1:13" x14ac:dyDescent="0.3">
      <c r="A60" s="2" t="s">
        <v>94</v>
      </c>
      <c r="B60" s="3">
        <v>45425</v>
      </c>
      <c r="C60" s="2" t="s">
        <v>24</v>
      </c>
      <c r="D60" s="2" t="s">
        <v>25</v>
      </c>
      <c r="E60" s="2" t="s">
        <v>50</v>
      </c>
      <c r="F60" s="2" t="s">
        <v>48</v>
      </c>
      <c r="G60" s="2">
        <v>9</v>
      </c>
      <c r="H60" s="4">
        <v>219.48</v>
      </c>
      <c r="I60" s="4">
        <v>1975.32</v>
      </c>
      <c r="J60" s="4">
        <v>1618.04</v>
      </c>
      <c r="K60" s="2" t="str">
        <f t="shared" si="3"/>
        <v>May 2024</v>
      </c>
      <c r="L60" s="4">
        <f t="shared" si="4"/>
        <v>357.28</v>
      </c>
      <c r="M60" s="2" t="str">
        <f t="shared" si="5"/>
        <v>Met</v>
      </c>
    </row>
    <row r="61" spans="1:13" x14ac:dyDescent="0.3">
      <c r="A61" s="5" t="s">
        <v>95</v>
      </c>
      <c r="B61" s="6">
        <v>45468</v>
      </c>
      <c r="C61" s="5" t="s">
        <v>24</v>
      </c>
      <c r="D61" s="5" t="s">
        <v>20</v>
      </c>
      <c r="E61" s="5" t="s">
        <v>33</v>
      </c>
      <c r="F61" s="5" t="s">
        <v>31</v>
      </c>
      <c r="G61" s="5">
        <v>17</v>
      </c>
      <c r="H61" s="7">
        <v>85.77</v>
      </c>
      <c r="I61" s="7">
        <v>1458.09</v>
      </c>
      <c r="J61" s="7">
        <v>1250.78</v>
      </c>
      <c r="K61" s="5" t="str">
        <f t="shared" si="3"/>
        <v>Jun 2024</v>
      </c>
      <c r="L61" s="7">
        <f t="shared" si="4"/>
        <v>207.30999999999995</v>
      </c>
      <c r="M61" s="5" t="str">
        <f t="shared" si="5"/>
        <v>Met</v>
      </c>
    </row>
    <row r="62" spans="1:13" x14ac:dyDescent="0.3">
      <c r="A62" s="2" t="s">
        <v>96</v>
      </c>
      <c r="B62" s="3">
        <v>45422</v>
      </c>
      <c r="C62" s="2" t="s">
        <v>24</v>
      </c>
      <c r="D62" s="2" t="s">
        <v>20</v>
      </c>
      <c r="E62" s="2" t="s">
        <v>43</v>
      </c>
      <c r="F62" s="2" t="s">
        <v>17</v>
      </c>
      <c r="G62" s="2">
        <v>1</v>
      </c>
      <c r="H62" s="4">
        <v>915.62</v>
      </c>
      <c r="I62" s="4">
        <v>915.62</v>
      </c>
      <c r="J62" s="4">
        <v>970.52</v>
      </c>
      <c r="K62" s="2" t="str">
        <f t="shared" si="3"/>
        <v>May 2024</v>
      </c>
      <c r="L62" s="4">
        <f t="shared" si="4"/>
        <v>-54.899999999999977</v>
      </c>
      <c r="M62" s="2" t="str">
        <f t="shared" si="5"/>
        <v>Missed</v>
      </c>
    </row>
    <row r="63" spans="1:13" x14ac:dyDescent="0.3">
      <c r="A63" s="5" t="s">
        <v>97</v>
      </c>
      <c r="B63" s="6">
        <v>45478</v>
      </c>
      <c r="C63" s="5" t="s">
        <v>19</v>
      </c>
      <c r="D63" s="5" t="s">
        <v>42</v>
      </c>
      <c r="E63" s="5" t="s">
        <v>38</v>
      </c>
      <c r="F63" s="5" t="s">
        <v>31</v>
      </c>
      <c r="G63" s="5">
        <v>11</v>
      </c>
      <c r="H63" s="7">
        <v>59.64</v>
      </c>
      <c r="I63" s="7">
        <v>656.04</v>
      </c>
      <c r="J63" s="7">
        <v>729.24</v>
      </c>
      <c r="K63" s="5" t="str">
        <f t="shared" si="3"/>
        <v>Jul 2024</v>
      </c>
      <c r="L63" s="7">
        <f t="shared" si="4"/>
        <v>-73.200000000000045</v>
      </c>
      <c r="M63" s="5" t="str">
        <f t="shared" si="5"/>
        <v>Missed</v>
      </c>
    </row>
    <row r="64" spans="1:13" x14ac:dyDescent="0.3">
      <c r="A64" s="2" t="s">
        <v>98</v>
      </c>
      <c r="B64" s="3">
        <v>45551</v>
      </c>
      <c r="C64" s="2" t="s">
        <v>35</v>
      </c>
      <c r="D64" s="2" t="s">
        <v>20</v>
      </c>
      <c r="E64" s="2" t="s">
        <v>30</v>
      </c>
      <c r="F64" s="2" t="s">
        <v>31</v>
      </c>
      <c r="G64" s="2">
        <v>11</v>
      </c>
      <c r="H64" s="4">
        <v>128.01</v>
      </c>
      <c r="I64" s="4">
        <v>1408.11</v>
      </c>
      <c r="J64" s="4">
        <v>1409.8</v>
      </c>
      <c r="K64" s="2" t="str">
        <f t="shared" si="3"/>
        <v>Sep 2024</v>
      </c>
      <c r="L64" s="4">
        <f t="shared" si="4"/>
        <v>-1.6900000000000546</v>
      </c>
      <c r="M64" s="2" t="str">
        <f t="shared" si="5"/>
        <v>Missed</v>
      </c>
    </row>
    <row r="65" spans="1:13" x14ac:dyDescent="0.3">
      <c r="A65" s="5" t="s">
        <v>99</v>
      </c>
      <c r="B65" s="6">
        <v>45390</v>
      </c>
      <c r="C65" s="5" t="s">
        <v>14</v>
      </c>
      <c r="D65" s="5" t="s">
        <v>42</v>
      </c>
      <c r="E65" s="5" t="s">
        <v>38</v>
      </c>
      <c r="F65" s="5" t="s">
        <v>31</v>
      </c>
      <c r="G65" s="5">
        <v>13</v>
      </c>
      <c r="H65" s="7">
        <v>69.31</v>
      </c>
      <c r="I65" s="7">
        <v>901.03</v>
      </c>
      <c r="J65" s="7">
        <v>1025.97</v>
      </c>
      <c r="K65" s="5" t="str">
        <f t="shared" si="3"/>
        <v>Apr 2024</v>
      </c>
      <c r="L65" s="7">
        <f t="shared" si="4"/>
        <v>-124.94000000000005</v>
      </c>
      <c r="M65" s="5" t="str">
        <f t="shared" si="5"/>
        <v>Missed</v>
      </c>
    </row>
    <row r="66" spans="1:13" x14ac:dyDescent="0.3">
      <c r="A66" s="2" t="s">
        <v>100</v>
      </c>
      <c r="B66" s="3">
        <v>45499</v>
      </c>
      <c r="C66" s="2" t="s">
        <v>29</v>
      </c>
      <c r="D66" s="2" t="s">
        <v>42</v>
      </c>
      <c r="E66" s="2" t="s">
        <v>21</v>
      </c>
      <c r="F66" s="2" t="s">
        <v>22</v>
      </c>
      <c r="G66" s="2">
        <v>10</v>
      </c>
      <c r="H66" s="4">
        <v>24.39</v>
      </c>
      <c r="I66" s="4">
        <v>243.9</v>
      </c>
      <c r="J66" s="4">
        <v>230.11</v>
      </c>
      <c r="K66" s="2" t="str">
        <f t="shared" ref="K66:K101" si="6">TEXT(B66,"MMM YYYY")</f>
        <v>Jul 2024</v>
      </c>
      <c r="L66" s="4">
        <f t="shared" ref="L66:L101" si="7">I66-J66</f>
        <v>13.789999999999992</v>
      </c>
      <c r="M66" s="2" t="str">
        <f t="shared" ref="M66:M101" si="8">IF(I66&gt;=J66,"Met","Missed")</f>
        <v>Met</v>
      </c>
    </row>
    <row r="67" spans="1:13" x14ac:dyDescent="0.3">
      <c r="A67" s="5" t="s">
        <v>101</v>
      </c>
      <c r="B67" s="6">
        <v>45530</v>
      </c>
      <c r="C67" s="5" t="s">
        <v>14</v>
      </c>
      <c r="D67" s="5" t="s">
        <v>15</v>
      </c>
      <c r="E67" s="5" t="s">
        <v>27</v>
      </c>
      <c r="F67" s="5" t="s">
        <v>22</v>
      </c>
      <c r="G67" s="5">
        <v>7</v>
      </c>
      <c r="H67" s="7">
        <v>15.16</v>
      </c>
      <c r="I67" s="7">
        <v>106.12</v>
      </c>
      <c r="J67" s="7">
        <v>112.02</v>
      </c>
      <c r="K67" s="5" t="str">
        <f t="shared" si="6"/>
        <v>Aug 2024</v>
      </c>
      <c r="L67" s="7">
        <f t="shared" si="7"/>
        <v>-5.8999999999999915</v>
      </c>
      <c r="M67" s="5" t="str">
        <f t="shared" si="8"/>
        <v>Missed</v>
      </c>
    </row>
    <row r="68" spans="1:13" x14ac:dyDescent="0.3">
      <c r="A68" s="2" t="s">
        <v>102</v>
      </c>
      <c r="B68" s="3">
        <v>45437</v>
      </c>
      <c r="C68" s="2" t="s">
        <v>14</v>
      </c>
      <c r="D68" s="2" t="s">
        <v>42</v>
      </c>
      <c r="E68" s="2" t="s">
        <v>21</v>
      </c>
      <c r="F68" s="2" t="s">
        <v>22</v>
      </c>
      <c r="G68" s="2">
        <v>20</v>
      </c>
      <c r="H68" s="4">
        <v>23.45</v>
      </c>
      <c r="I68" s="4">
        <v>469</v>
      </c>
      <c r="J68" s="4">
        <v>453.8</v>
      </c>
      <c r="K68" s="2" t="str">
        <f t="shared" si="6"/>
        <v>May 2024</v>
      </c>
      <c r="L68" s="4">
        <f t="shared" si="7"/>
        <v>15.199999999999989</v>
      </c>
      <c r="M68" s="2" t="str">
        <f t="shared" si="8"/>
        <v>Met</v>
      </c>
    </row>
    <row r="69" spans="1:13" x14ac:dyDescent="0.3">
      <c r="A69" s="5" t="s">
        <v>103</v>
      </c>
      <c r="B69" s="6">
        <v>45407</v>
      </c>
      <c r="C69" s="5" t="s">
        <v>29</v>
      </c>
      <c r="D69" s="5" t="s">
        <v>15</v>
      </c>
      <c r="E69" s="5" t="s">
        <v>47</v>
      </c>
      <c r="F69" s="5" t="s">
        <v>48</v>
      </c>
      <c r="G69" s="5">
        <v>2</v>
      </c>
      <c r="H69" s="7">
        <v>421.58</v>
      </c>
      <c r="I69" s="7">
        <v>843.16</v>
      </c>
      <c r="J69" s="7">
        <v>777.75</v>
      </c>
      <c r="K69" s="5" t="str">
        <f t="shared" si="6"/>
        <v>Apr 2024</v>
      </c>
      <c r="L69" s="7">
        <f t="shared" si="7"/>
        <v>65.409999999999968</v>
      </c>
      <c r="M69" s="5" t="str">
        <f t="shared" si="8"/>
        <v>Met</v>
      </c>
    </row>
    <row r="70" spans="1:13" x14ac:dyDescent="0.3">
      <c r="A70" s="2" t="s">
        <v>104</v>
      </c>
      <c r="B70" s="3">
        <v>45525</v>
      </c>
      <c r="C70" s="2" t="s">
        <v>29</v>
      </c>
      <c r="D70" s="2" t="s">
        <v>25</v>
      </c>
      <c r="E70" s="2" t="s">
        <v>38</v>
      </c>
      <c r="F70" s="2" t="s">
        <v>31</v>
      </c>
      <c r="G70" s="2">
        <v>19</v>
      </c>
      <c r="H70" s="4">
        <v>72.900000000000006</v>
      </c>
      <c r="I70" s="4">
        <v>1385.1</v>
      </c>
      <c r="J70" s="4">
        <v>1242.74</v>
      </c>
      <c r="K70" s="2" t="str">
        <f t="shared" si="6"/>
        <v>Aug 2024</v>
      </c>
      <c r="L70" s="4">
        <f t="shared" si="7"/>
        <v>142.3599999999999</v>
      </c>
      <c r="M70" s="2" t="str">
        <f t="shared" si="8"/>
        <v>Met</v>
      </c>
    </row>
    <row r="71" spans="1:13" x14ac:dyDescent="0.3">
      <c r="A71" s="5" t="s">
        <v>105</v>
      </c>
      <c r="B71" s="6">
        <v>45496</v>
      </c>
      <c r="C71" s="5" t="s">
        <v>19</v>
      </c>
      <c r="D71" s="5" t="s">
        <v>25</v>
      </c>
      <c r="E71" s="5" t="s">
        <v>47</v>
      </c>
      <c r="F71" s="5" t="s">
        <v>48</v>
      </c>
      <c r="G71" s="5">
        <v>1</v>
      </c>
      <c r="H71" s="7">
        <v>421.6</v>
      </c>
      <c r="I71" s="7">
        <v>421.6</v>
      </c>
      <c r="J71" s="7">
        <v>525.45000000000005</v>
      </c>
      <c r="K71" s="5" t="str">
        <f t="shared" si="6"/>
        <v>Jul 2024</v>
      </c>
      <c r="L71" s="7">
        <f t="shared" si="7"/>
        <v>-103.85000000000002</v>
      </c>
      <c r="M71" s="5" t="str">
        <f t="shared" si="8"/>
        <v>Missed</v>
      </c>
    </row>
    <row r="72" spans="1:13" x14ac:dyDescent="0.3">
      <c r="A72" s="2" t="s">
        <v>106</v>
      </c>
      <c r="B72" s="3">
        <v>45404</v>
      </c>
      <c r="C72" s="2" t="s">
        <v>24</v>
      </c>
      <c r="D72" s="2" t="s">
        <v>20</v>
      </c>
      <c r="E72" s="2" t="s">
        <v>50</v>
      </c>
      <c r="F72" s="2" t="s">
        <v>48</v>
      </c>
      <c r="G72" s="2">
        <v>17</v>
      </c>
      <c r="H72" s="4">
        <v>231.22</v>
      </c>
      <c r="I72" s="4">
        <v>3930.74</v>
      </c>
      <c r="J72" s="4">
        <v>4057.6</v>
      </c>
      <c r="K72" s="2" t="str">
        <f t="shared" si="6"/>
        <v>Apr 2024</v>
      </c>
      <c r="L72" s="4">
        <f t="shared" si="7"/>
        <v>-126.86000000000013</v>
      </c>
      <c r="M72" s="2" t="str">
        <f t="shared" si="8"/>
        <v>Missed</v>
      </c>
    </row>
    <row r="73" spans="1:13" x14ac:dyDescent="0.3">
      <c r="A73" s="5" t="s">
        <v>107</v>
      </c>
      <c r="B73" s="6">
        <v>45354</v>
      </c>
      <c r="C73" s="5" t="s">
        <v>24</v>
      </c>
      <c r="D73" s="5" t="s">
        <v>42</v>
      </c>
      <c r="E73" s="5" t="s">
        <v>27</v>
      </c>
      <c r="F73" s="5" t="s">
        <v>22</v>
      </c>
      <c r="G73" s="5">
        <v>15</v>
      </c>
      <c r="H73" s="7">
        <v>14</v>
      </c>
      <c r="I73" s="7">
        <v>210</v>
      </c>
      <c r="J73" s="7">
        <v>238.1</v>
      </c>
      <c r="K73" s="5" t="str">
        <f t="shared" si="6"/>
        <v>Mar 2024</v>
      </c>
      <c r="L73" s="7">
        <f t="shared" si="7"/>
        <v>-28.099999999999994</v>
      </c>
      <c r="M73" s="5" t="str">
        <f t="shared" si="8"/>
        <v>Missed</v>
      </c>
    </row>
    <row r="74" spans="1:13" x14ac:dyDescent="0.3">
      <c r="A74" s="2" t="s">
        <v>108</v>
      </c>
      <c r="B74" s="3">
        <v>45518</v>
      </c>
      <c r="C74" s="2" t="s">
        <v>24</v>
      </c>
      <c r="D74" s="2" t="s">
        <v>25</v>
      </c>
      <c r="E74" s="2" t="s">
        <v>60</v>
      </c>
      <c r="F74" s="2" t="s">
        <v>17</v>
      </c>
      <c r="G74" s="2">
        <v>17</v>
      </c>
      <c r="H74" s="4">
        <v>49.67</v>
      </c>
      <c r="I74" s="4">
        <v>844.39</v>
      </c>
      <c r="J74" s="4">
        <v>855.68</v>
      </c>
      <c r="K74" s="2" t="str">
        <f t="shared" si="6"/>
        <v>Aug 2024</v>
      </c>
      <c r="L74" s="4">
        <f t="shared" si="7"/>
        <v>-11.289999999999964</v>
      </c>
      <c r="M74" s="2" t="str">
        <f t="shared" si="8"/>
        <v>Missed</v>
      </c>
    </row>
    <row r="75" spans="1:13" x14ac:dyDescent="0.3">
      <c r="A75" s="5" t="s">
        <v>109</v>
      </c>
      <c r="B75" s="6">
        <v>45373</v>
      </c>
      <c r="C75" s="5" t="s">
        <v>35</v>
      </c>
      <c r="D75" s="5" t="s">
        <v>25</v>
      </c>
      <c r="E75" s="5" t="s">
        <v>27</v>
      </c>
      <c r="F75" s="5" t="s">
        <v>22</v>
      </c>
      <c r="G75" s="5">
        <v>8</v>
      </c>
      <c r="H75" s="7">
        <v>15.19</v>
      </c>
      <c r="I75" s="7">
        <v>121.52</v>
      </c>
      <c r="J75" s="7">
        <v>148.25</v>
      </c>
      <c r="K75" s="5" t="str">
        <f t="shared" si="6"/>
        <v>Mar 2024</v>
      </c>
      <c r="L75" s="7">
        <f t="shared" si="7"/>
        <v>-26.730000000000004</v>
      </c>
      <c r="M75" s="5" t="str">
        <f t="shared" si="8"/>
        <v>Missed</v>
      </c>
    </row>
    <row r="76" spans="1:13" x14ac:dyDescent="0.3">
      <c r="A76" s="2" t="s">
        <v>110</v>
      </c>
      <c r="B76" s="3">
        <v>45612</v>
      </c>
      <c r="C76" s="2" t="s">
        <v>14</v>
      </c>
      <c r="D76" s="2" t="s">
        <v>42</v>
      </c>
      <c r="E76" s="2" t="s">
        <v>47</v>
      </c>
      <c r="F76" s="2" t="s">
        <v>48</v>
      </c>
      <c r="G76" s="2">
        <v>3</v>
      </c>
      <c r="H76" s="4">
        <v>435.89</v>
      </c>
      <c r="I76" s="4">
        <v>1307.67</v>
      </c>
      <c r="J76" s="4">
        <v>1512.68</v>
      </c>
      <c r="K76" s="2" t="str">
        <f t="shared" si="6"/>
        <v>Nov 2024</v>
      </c>
      <c r="L76" s="4">
        <f t="shared" si="7"/>
        <v>-205.01</v>
      </c>
      <c r="M76" s="2" t="str">
        <f t="shared" si="8"/>
        <v>Missed</v>
      </c>
    </row>
    <row r="77" spans="1:13" x14ac:dyDescent="0.3">
      <c r="A77" s="5" t="s">
        <v>111</v>
      </c>
      <c r="B77" s="6">
        <v>45463</v>
      </c>
      <c r="C77" s="5" t="s">
        <v>14</v>
      </c>
      <c r="D77" s="5" t="s">
        <v>25</v>
      </c>
      <c r="E77" s="5" t="s">
        <v>33</v>
      </c>
      <c r="F77" s="5" t="s">
        <v>31</v>
      </c>
      <c r="G77" s="5">
        <v>3</v>
      </c>
      <c r="H77" s="7">
        <v>95.48</v>
      </c>
      <c r="I77" s="7">
        <v>286.44</v>
      </c>
      <c r="J77" s="7">
        <v>248.97</v>
      </c>
      <c r="K77" s="5" t="str">
        <f t="shared" si="6"/>
        <v>Jun 2024</v>
      </c>
      <c r="L77" s="7">
        <f t="shared" si="7"/>
        <v>37.47</v>
      </c>
      <c r="M77" s="5" t="str">
        <f t="shared" si="8"/>
        <v>Met</v>
      </c>
    </row>
    <row r="78" spans="1:13" x14ac:dyDescent="0.3">
      <c r="A78" s="2" t="s">
        <v>112</v>
      </c>
      <c r="B78" s="3">
        <v>45647</v>
      </c>
      <c r="C78" s="2" t="s">
        <v>35</v>
      </c>
      <c r="D78" s="2" t="s">
        <v>25</v>
      </c>
      <c r="E78" s="2" t="s">
        <v>50</v>
      </c>
      <c r="F78" s="2" t="s">
        <v>48</v>
      </c>
      <c r="G78" s="2">
        <v>3</v>
      </c>
      <c r="H78" s="4">
        <v>226.09</v>
      </c>
      <c r="I78" s="4">
        <v>678.27</v>
      </c>
      <c r="J78" s="4">
        <v>683.31</v>
      </c>
      <c r="K78" s="2" t="str">
        <f t="shared" si="6"/>
        <v>Dec 2024</v>
      </c>
      <c r="L78" s="4">
        <f t="shared" si="7"/>
        <v>-5.0399999999999636</v>
      </c>
      <c r="M78" s="2" t="str">
        <f t="shared" si="8"/>
        <v>Missed</v>
      </c>
    </row>
    <row r="79" spans="1:13" x14ac:dyDescent="0.3">
      <c r="A79" s="5" t="s">
        <v>113</v>
      </c>
      <c r="B79" s="6">
        <v>45504</v>
      </c>
      <c r="C79" s="5" t="s">
        <v>24</v>
      </c>
      <c r="D79" s="5" t="s">
        <v>15</v>
      </c>
      <c r="E79" s="5" t="s">
        <v>43</v>
      </c>
      <c r="F79" s="5" t="s">
        <v>17</v>
      </c>
      <c r="G79" s="5">
        <v>14</v>
      </c>
      <c r="H79" s="7">
        <v>808.95</v>
      </c>
      <c r="I79" s="7">
        <v>11325.3</v>
      </c>
      <c r="J79" s="7">
        <v>11265.71</v>
      </c>
      <c r="K79" s="5" t="str">
        <f t="shared" si="6"/>
        <v>Jul 2024</v>
      </c>
      <c r="L79" s="7">
        <f t="shared" si="7"/>
        <v>59.590000000000146</v>
      </c>
      <c r="M79" s="5" t="str">
        <f t="shared" si="8"/>
        <v>Met</v>
      </c>
    </row>
    <row r="80" spans="1:13" x14ac:dyDescent="0.3">
      <c r="A80" s="2" t="s">
        <v>114</v>
      </c>
      <c r="B80" s="3">
        <v>45586</v>
      </c>
      <c r="C80" s="2" t="s">
        <v>29</v>
      </c>
      <c r="D80" s="2" t="s">
        <v>25</v>
      </c>
      <c r="E80" s="2" t="s">
        <v>38</v>
      </c>
      <c r="F80" s="2" t="s">
        <v>31</v>
      </c>
      <c r="G80" s="2">
        <v>12</v>
      </c>
      <c r="H80" s="4">
        <v>66.25</v>
      </c>
      <c r="I80" s="4">
        <v>795</v>
      </c>
      <c r="J80" s="4">
        <v>754.7</v>
      </c>
      <c r="K80" s="2" t="str">
        <f t="shared" si="6"/>
        <v>Oct 2024</v>
      </c>
      <c r="L80" s="4">
        <f t="shared" si="7"/>
        <v>40.299999999999955</v>
      </c>
      <c r="M80" s="2" t="str">
        <f t="shared" si="8"/>
        <v>Met</v>
      </c>
    </row>
    <row r="81" spans="1:13" x14ac:dyDescent="0.3">
      <c r="A81" s="5" t="s">
        <v>115</v>
      </c>
      <c r="B81" s="6">
        <v>45567</v>
      </c>
      <c r="C81" s="5" t="s">
        <v>35</v>
      </c>
      <c r="D81" s="5" t="s">
        <v>25</v>
      </c>
      <c r="E81" s="5" t="s">
        <v>21</v>
      </c>
      <c r="F81" s="5" t="s">
        <v>22</v>
      </c>
      <c r="G81" s="5">
        <v>8</v>
      </c>
      <c r="H81" s="7">
        <v>24.2</v>
      </c>
      <c r="I81" s="7">
        <v>193.6</v>
      </c>
      <c r="J81" s="7">
        <v>202.14</v>
      </c>
      <c r="K81" s="5" t="str">
        <f t="shared" si="6"/>
        <v>Oct 2024</v>
      </c>
      <c r="L81" s="7">
        <f t="shared" si="7"/>
        <v>-8.539999999999992</v>
      </c>
      <c r="M81" s="5" t="str">
        <f t="shared" si="8"/>
        <v>Missed</v>
      </c>
    </row>
    <row r="82" spans="1:13" x14ac:dyDescent="0.3">
      <c r="A82" s="2" t="s">
        <v>116</v>
      </c>
      <c r="B82" s="3">
        <v>45540</v>
      </c>
      <c r="C82" s="2" t="s">
        <v>29</v>
      </c>
      <c r="D82" s="2" t="s">
        <v>20</v>
      </c>
      <c r="E82" s="2" t="s">
        <v>43</v>
      </c>
      <c r="F82" s="2" t="s">
        <v>17</v>
      </c>
      <c r="G82" s="2">
        <v>13</v>
      </c>
      <c r="H82" s="4">
        <v>847.63</v>
      </c>
      <c r="I82" s="4">
        <v>11019.19</v>
      </c>
      <c r="J82" s="4">
        <v>12805.3</v>
      </c>
      <c r="K82" s="2" t="str">
        <f t="shared" si="6"/>
        <v>Sep 2024</v>
      </c>
      <c r="L82" s="4">
        <f t="shared" si="7"/>
        <v>-1786.1099999999988</v>
      </c>
      <c r="M82" s="2" t="str">
        <f t="shared" si="8"/>
        <v>Missed</v>
      </c>
    </row>
    <row r="83" spans="1:13" x14ac:dyDescent="0.3">
      <c r="A83" s="5" t="s">
        <v>117</v>
      </c>
      <c r="B83" s="6">
        <v>45610</v>
      </c>
      <c r="C83" s="5" t="s">
        <v>19</v>
      </c>
      <c r="D83" s="5" t="s">
        <v>15</v>
      </c>
      <c r="E83" s="5" t="s">
        <v>21</v>
      </c>
      <c r="F83" s="5" t="s">
        <v>22</v>
      </c>
      <c r="G83" s="5">
        <v>13</v>
      </c>
      <c r="H83" s="7">
        <v>19.95</v>
      </c>
      <c r="I83" s="7">
        <v>259.35000000000002</v>
      </c>
      <c r="J83" s="7">
        <v>284.23</v>
      </c>
      <c r="K83" s="5" t="str">
        <f t="shared" si="6"/>
        <v>Nov 2024</v>
      </c>
      <c r="L83" s="7">
        <f t="shared" si="7"/>
        <v>-24.879999999999995</v>
      </c>
      <c r="M83" s="5" t="str">
        <f t="shared" si="8"/>
        <v>Missed</v>
      </c>
    </row>
    <row r="84" spans="1:13" x14ac:dyDescent="0.3">
      <c r="A84" s="2" t="s">
        <v>118</v>
      </c>
      <c r="B84" s="3">
        <v>45621</v>
      </c>
      <c r="C84" s="2" t="s">
        <v>35</v>
      </c>
      <c r="D84" s="2" t="s">
        <v>25</v>
      </c>
      <c r="E84" s="2" t="s">
        <v>38</v>
      </c>
      <c r="F84" s="2" t="s">
        <v>31</v>
      </c>
      <c r="G84" s="2">
        <v>15</v>
      </c>
      <c r="H84" s="4">
        <v>60.71</v>
      </c>
      <c r="I84" s="4">
        <v>910.65</v>
      </c>
      <c r="J84" s="4">
        <v>811.27</v>
      </c>
      <c r="K84" s="2" t="str">
        <f t="shared" si="6"/>
        <v>Nov 2024</v>
      </c>
      <c r="L84" s="4">
        <f t="shared" si="7"/>
        <v>99.38</v>
      </c>
      <c r="M84" s="2" t="str">
        <f t="shared" si="8"/>
        <v>Met</v>
      </c>
    </row>
    <row r="85" spans="1:13" x14ac:dyDescent="0.3">
      <c r="A85" s="5" t="s">
        <v>119</v>
      </c>
      <c r="B85" s="6">
        <v>45459</v>
      </c>
      <c r="C85" s="5" t="s">
        <v>29</v>
      </c>
      <c r="D85" s="5" t="s">
        <v>42</v>
      </c>
      <c r="E85" s="5" t="s">
        <v>47</v>
      </c>
      <c r="F85" s="5" t="s">
        <v>48</v>
      </c>
      <c r="G85" s="5">
        <v>11</v>
      </c>
      <c r="H85" s="7">
        <v>456.15</v>
      </c>
      <c r="I85" s="7">
        <v>5017.6499999999996</v>
      </c>
      <c r="J85" s="7">
        <v>5923.91</v>
      </c>
      <c r="K85" s="5" t="str">
        <f t="shared" si="6"/>
        <v>Jun 2024</v>
      </c>
      <c r="L85" s="7">
        <f t="shared" si="7"/>
        <v>-906.26000000000022</v>
      </c>
      <c r="M85" s="5" t="str">
        <f t="shared" si="8"/>
        <v>Missed</v>
      </c>
    </row>
    <row r="86" spans="1:13" x14ac:dyDescent="0.3">
      <c r="A86" s="2" t="s">
        <v>120</v>
      </c>
      <c r="B86" s="3">
        <v>45507</v>
      </c>
      <c r="C86" s="2" t="s">
        <v>24</v>
      </c>
      <c r="D86" s="2" t="s">
        <v>15</v>
      </c>
      <c r="E86" s="2" t="s">
        <v>30</v>
      </c>
      <c r="F86" s="2" t="s">
        <v>31</v>
      </c>
      <c r="G86" s="2">
        <v>16</v>
      </c>
      <c r="H86" s="4">
        <v>133.05000000000001</v>
      </c>
      <c r="I86" s="4">
        <v>2128.8000000000002</v>
      </c>
      <c r="J86" s="4">
        <v>1723.67</v>
      </c>
      <c r="K86" s="2" t="str">
        <f t="shared" si="6"/>
        <v>Aug 2024</v>
      </c>
      <c r="L86" s="4">
        <f t="shared" si="7"/>
        <v>405.13000000000011</v>
      </c>
      <c r="M86" s="2" t="str">
        <f t="shared" si="8"/>
        <v>Met</v>
      </c>
    </row>
    <row r="87" spans="1:13" x14ac:dyDescent="0.3">
      <c r="A87" s="5" t="s">
        <v>121</v>
      </c>
      <c r="B87" s="6">
        <v>45471</v>
      </c>
      <c r="C87" s="5" t="s">
        <v>14</v>
      </c>
      <c r="D87" s="5" t="s">
        <v>20</v>
      </c>
      <c r="E87" s="5" t="s">
        <v>47</v>
      </c>
      <c r="F87" s="5" t="s">
        <v>48</v>
      </c>
      <c r="G87" s="5">
        <v>2</v>
      </c>
      <c r="H87" s="7">
        <v>478.14</v>
      </c>
      <c r="I87" s="7">
        <v>956.28</v>
      </c>
      <c r="J87" s="7">
        <v>1125.6500000000001</v>
      </c>
      <c r="K87" s="5" t="str">
        <f t="shared" si="6"/>
        <v>Jun 2024</v>
      </c>
      <c r="L87" s="7">
        <f t="shared" si="7"/>
        <v>-169.37000000000012</v>
      </c>
      <c r="M87" s="5" t="str">
        <f t="shared" si="8"/>
        <v>Missed</v>
      </c>
    </row>
    <row r="88" spans="1:13" x14ac:dyDescent="0.3">
      <c r="A88" s="2" t="s">
        <v>122</v>
      </c>
      <c r="B88" s="3">
        <v>45302</v>
      </c>
      <c r="C88" s="2" t="s">
        <v>19</v>
      </c>
      <c r="D88" s="2" t="s">
        <v>20</v>
      </c>
      <c r="E88" s="2" t="s">
        <v>60</v>
      </c>
      <c r="F88" s="2" t="s">
        <v>17</v>
      </c>
      <c r="G88" s="2">
        <v>5</v>
      </c>
      <c r="H88" s="4">
        <v>42.21</v>
      </c>
      <c r="I88" s="4">
        <v>211.05</v>
      </c>
      <c r="J88" s="4">
        <v>218.81</v>
      </c>
      <c r="K88" s="2" t="str">
        <f t="shared" si="6"/>
        <v>Jan 2024</v>
      </c>
      <c r="L88" s="4">
        <f t="shared" si="7"/>
        <v>-7.7599999999999909</v>
      </c>
      <c r="M88" s="2" t="str">
        <f t="shared" si="8"/>
        <v>Missed</v>
      </c>
    </row>
    <row r="89" spans="1:13" x14ac:dyDescent="0.3">
      <c r="A89" s="5" t="s">
        <v>123</v>
      </c>
      <c r="B89" s="6">
        <v>45530</v>
      </c>
      <c r="C89" s="5" t="s">
        <v>19</v>
      </c>
      <c r="D89" s="5" t="s">
        <v>20</v>
      </c>
      <c r="E89" s="5" t="s">
        <v>30</v>
      </c>
      <c r="F89" s="5" t="s">
        <v>31</v>
      </c>
      <c r="G89" s="5">
        <v>6</v>
      </c>
      <c r="H89" s="7">
        <v>131.01</v>
      </c>
      <c r="I89" s="7">
        <v>786.06</v>
      </c>
      <c r="J89" s="7">
        <v>866.98</v>
      </c>
      <c r="K89" s="5" t="str">
        <f t="shared" si="6"/>
        <v>Aug 2024</v>
      </c>
      <c r="L89" s="7">
        <f t="shared" si="7"/>
        <v>-80.920000000000073</v>
      </c>
      <c r="M89" s="5" t="str">
        <f t="shared" si="8"/>
        <v>Missed</v>
      </c>
    </row>
    <row r="90" spans="1:13" x14ac:dyDescent="0.3">
      <c r="A90" s="2" t="s">
        <v>124</v>
      </c>
      <c r="B90" s="3">
        <v>45451</v>
      </c>
      <c r="C90" s="2" t="s">
        <v>29</v>
      </c>
      <c r="D90" s="2" t="s">
        <v>25</v>
      </c>
      <c r="E90" s="2" t="s">
        <v>16</v>
      </c>
      <c r="F90" s="2" t="s">
        <v>17</v>
      </c>
      <c r="G90" s="2">
        <v>10</v>
      </c>
      <c r="H90" s="4">
        <v>334.29</v>
      </c>
      <c r="I90" s="4">
        <v>3342.9</v>
      </c>
      <c r="J90" s="4">
        <v>3636.74</v>
      </c>
      <c r="K90" s="2" t="str">
        <f t="shared" si="6"/>
        <v>Jun 2024</v>
      </c>
      <c r="L90" s="4">
        <f t="shared" si="7"/>
        <v>-293.83999999999969</v>
      </c>
      <c r="M90" s="2" t="str">
        <f t="shared" si="8"/>
        <v>Missed</v>
      </c>
    </row>
    <row r="91" spans="1:13" x14ac:dyDescent="0.3">
      <c r="A91" s="5" t="s">
        <v>125</v>
      </c>
      <c r="B91" s="6">
        <v>45393</v>
      </c>
      <c r="C91" s="5" t="s">
        <v>35</v>
      </c>
      <c r="D91" s="5" t="s">
        <v>15</v>
      </c>
      <c r="E91" s="5" t="s">
        <v>16</v>
      </c>
      <c r="F91" s="5" t="s">
        <v>17</v>
      </c>
      <c r="G91" s="5">
        <v>8</v>
      </c>
      <c r="H91" s="7">
        <v>335.37</v>
      </c>
      <c r="I91" s="7">
        <v>2682.96</v>
      </c>
      <c r="J91" s="7">
        <v>2283.0700000000002</v>
      </c>
      <c r="K91" s="5" t="str">
        <f t="shared" si="6"/>
        <v>Apr 2024</v>
      </c>
      <c r="L91" s="7">
        <f t="shared" si="7"/>
        <v>399.88999999999987</v>
      </c>
      <c r="M91" s="5" t="str">
        <f t="shared" si="8"/>
        <v>Met</v>
      </c>
    </row>
    <row r="92" spans="1:13" x14ac:dyDescent="0.3">
      <c r="A92" s="2" t="s">
        <v>126</v>
      </c>
      <c r="B92" s="3">
        <v>45581</v>
      </c>
      <c r="C92" s="2" t="s">
        <v>19</v>
      </c>
      <c r="D92" s="2" t="s">
        <v>42</v>
      </c>
      <c r="E92" s="2" t="s">
        <v>43</v>
      </c>
      <c r="F92" s="2" t="s">
        <v>17</v>
      </c>
      <c r="G92" s="2">
        <v>14</v>
      </c>
      <c r="H92" s="4">
        <v>838.78</v>
      </c>
      <c r="I92" s="4">
        <v>11742.92</v>
      </c>
      <c r="J92" s="4">
        <v>13278.43</v>
      </c>
      <c r="K92" s="2" t="str">
        <f t="shared" si="6"/>
        <v>Oct 2024</v>
      </c>
      <c r="L92" s="4">
        <f t="shared" si="7"/>
        <v>-1535.5100000000002</v>
      </c>
      <c r="M92" s="2" t="str">
        <f t="shared" si="8"/>
        <v>Missed</v>
      </c>
    </row>
    <row r="93" spans="1:13" x14ac:dyDescent="0.3">
      <c r="A93" s="5" t="s">
        <v>127</v>
      </c>
      <c r="B93" s="6">
        <v>45298</v>
      </c>
      <c r="C93" s="5" t="s">
        <v>35</v>
      </c>
      <c r="D93" s="5" t="s">
        <v>25</v>
      </c>
      <c r="E93" s="5" t="s">
        <v>38</v>
      </c>
      <c r="F93" s="5" t="s">
        <v>31</v>
      </c>
      <c r="G93" s="5">
        <v>4</v>
      </c>
      <c r="H93" s="7">
        <v>71.86</v>
      </c>
      <c r="I93" s="7">
        <v>287.44</v>
      </c>
      <c r="J93" s="7">
        <v>292.26</v>
      </c>
      <c r="K93" s="5" t="str">
        <f t="shared" si="6"/>
        <v>Jan 2024</v>
      </c>
      <c r="L93" s="7">
        <f t="shared" si="7"/>
        <v>-4.8199999999999932</v>
      </c>
      <c r="M93" s="5" t="str">
        <f t="shared" si="8"/>
        <v>Missed</v>
      </c>
    </row>
    <row r="94" spans="1:13" x14ac:dyDescent="0.3">
      <c r="A94" s="2" t="s">
        <v>128</v>
      </c>
      <c r="B94" s="3">
        <v>45654</v>
      </c>
      <c r="C94" s="2" t="s">
        <v>35</v>
      </c>
      <c r="D94" s="2" t="s">
        <v>25</v>
      </c>
      <c r="E94" s="2" t="s">
        <v>50</v>
      </c>
      <c r="F94" s="2" t="s">
        <v>48</v>
      </c>
      <c r="G94" s="2">
        <v>17</v>
      </c>
      <c r="H94" s="4">
        <v>211.86</v>
      </c>
      <c r="I94" s="4">
        <v>3601.62</v>
      </c>
      <c r="J94" s="4">
        <v>4619.93</v>
      </c>
      <c r="K94" s="2" t="str">
        <f t="shared" si="6"/>
        <v>Dec 2024</v>
      </c>
      <c r="L94" s="4">
        <f t="shared" si="7"/>
        <v>-1018.3100000000004</v>
      </c>
      <c r="M94" s="2" t="str">
        <f t="shared" si="8"/>
        <v>Missed</v>
      </c>
    </row>
    <row r="95" spans="1:13" x14ac:dyDescent="0.3">
      <c r="A95" s="5" t="s">
        <v>129</v>
      </c>
      <c r="B95" s="6">
        <v>45530</v>
      </c>
      <c r="C95" s="5" t="s">
        <v>14</v>
      </c>
      <c r="D95" s="5" t="s">
        <v>15</v>
      </c>
      <c r="E95" s="5" t="s">
        <v>38</v>
      </c>
      <c r="F95" s="5" t="s">
        <v>31</v>
      </c>
      <c r="G95" s="5">
        <v>19</v>
      </c>
      <c r="H95" s="7">
        <v>71.92</v>
      </c>
      <c r="I95" s="7">
        <v>1366.48</v>
      </c>
      <c r="J95" s="7">
        <v>1276.56</v>
      </c>
      <c r="K95" s="5" t="str">
        <f t="shared" si="6"/>
        <v>Aug 2024</v>
      </c>
      <c r="L95" s="7">
        <f t="shared" si="7"/>
        <v>89.920000000000073</v>
      </c>
      <c r="M95" s="5" t="str">
        <f t="shared" si="8"/>
        <v>Met</v>
      </c>
    </row>
    <row r="96" spans="1:13" x14ac:dyDescent="0.3">
      <c r="A96" s="2" t="s">
        <v>130</v>
      </c>
      <c r="B96" s="3">
        <v>45434</v>
      </c>
      <c r="C96" s="2" t="s">
        <v>29</v>
      </c>
      <c r="D96" s="2" t="s">
        <v>42</v>
      </c>
      <c r="E96" s="2" t="s">
        <v>27</v>
      </c>
      <c r="F96" s="2" t="s">
        <v>22</v>
      </c>
      <c r="G96" s="2">
        <v>15</v>
      </c>
      <c r="H96" s="4">
        <v>14.41</v>
      </c>
      <c r="I96" s="4">
        <v>216.15</v>
      </c>
      <c r="J96" s="4">
        <v>234.51</v>
      </c>
      <c r="K96" s="2" t="str">
        <f t="shared" si="6"/>
        <v>May 2024</v>
      </c>
      <c r="L96" s="4">
        <f t="shared" si="7"/>
        <v>-18.359999999999985</v>
      </c>
      <c r="M96" s="2" t="str">
        <f t="shared" si="8"/>
        <v>Missed</v>
      </c>
    </row>
    <row r="97" spans="1:13" x14ac:dyDescent="0.3">
      <c r="A97" s="5" t="s">
        <v>131</v>
      </c>
      <c r="B97" s="6">
        <v>45306</v>
      </c>
      <c r="C97" s="5" t="s">
        <v>35</v>
      </c>
      <c r="D97" s="5" t="s">
        <v>42</v>
      </c>
      <c r="E97" s="5" t="s">
        <v>27</v>
      </c>
      <c r="F97" s="5" t="s">
        <v>22</v>
      </c>
      <c r="G97" s="5">
        <v>6</v>
      </c>
      <c r="H97" s="7">
        <v>16.690000000000001</v>
      </c>
      <c r="I97" s="7">
        <v>100.14</v>
      </c>
      <c r="J97" s="7">
        <v>104.52</v>
      </c>
      <c r="K97" s="5" t="str">
        <f t="shared" si="6"/>
        <v>Jan 2024</v>
      </c>
      <c r="L97" s="7">
        <f t="shared" si="7"/>
        <v>-4.3799999999999955</v>
      </c>
      <c r="M97" s="5" t="str">
        <f t="shared" si="8"/>
        <v>Missed</v>
      </c>
    </row>
    <row r="98" spans="1:13" x14ac:dyDescent="0.3">
      <c r="A98" s="2" t="s">
        <v>132</v>
      </c>
      <c r="B98" s="3">
        <v>45466</v>
      </c>
      <c r="C98" s="2" t="s">
        <v>24</v>
      </c>
      <c r="D98" s="2" t="s">
        <v>20</v>
      </c>
      <c r="E98" s="2" t="s">
        <v>30</v>
      </c>
      <c r="F98" s="2" t="s">
        <v>31</v>
      </c>
      <c r="G98" s="2">
        <v>9</v>
      </c>
      <c r="H98" s="4">
        <v>134.41</v>
      </c>
      <c r="I98" s="4">
        <v>1209.69</v>
      </c>
      <c r="J98" s="4">
        <v>1303.92</v>
      </c>
      <c r="K98" s="2" t="str">
        <f t="shared" si="6"/>
        <v>Jun 2024</v>
      </c>
      <c r="L98" s="4">
        <f t="shared" si="7"/>
        <v>-94.230000000000018</v>
      </c>
      <c r="M98" s="2" t="str">
        <f t="shared" si="8"/>
        <v>Missed</v>
      </c>
    </row>
    <row r="99" spans="1:13" x14ac:dyDescent="0.3">
      <c r="A99" s="5" t="s">
        <v>133</v>
      </c>
      <c r="B99" s="6">
        <v>45335</v>
      </c>
      <c r="C99" s="5" t="s">
        <v>14</v>
      </c>
      <c r="D99" s="5" t="s">
        <v>25</v>
      </c>
      <c r="E99" s="5" t="s">
        <v>47</v>
      </c>
      <c r="F99" s="5" t="s">
        <v>48</v>
      </c>
      <c r="G99" s="5">
        <v>16</v>
      </c>
      <c r="H99" s="7">
        <v>486.01</v>
      </c>
      <c r="I99" s="7">
        <v>7776.16</v>
      </c>
      <c r="J99" s="7">
        <v>8379.5</v>
      </c>
      <c r="K99" s="5" t="str">
        <f t="shared" si="6"/>
        <v>Feb 2024</v>
      </c>
      <c r="L99" s="7">
        <f t="shared" si="7"/>
        <v>-603.34000000000015</v>
      </c>
      <c r="M99" s="5" t="str">
        <f t="shared" si="8"/>
        <v>Missed</v>
      </c>
    </row>
    <row r="100" spans="1:13" x14ac:dyDescent="0.3">
      <c r="A100" s="2" t="s">
        <v>134</v>
      </c>
      <c r="B100" s="3">
        <v>45622</v>
      </c>
      <c r="C100" s="2" t="s">
        <v>14</v>
      </c>
      <c r="D100" s="2" t="s">
        <v>25</v>
      </c>
      <c r="E100" s="2" t="s">
        <v>27</v>
      </c>
      <c r="F100" s="2" t="s">
        <v>22</v>
      </c>
      <c r="G100" s="2">
        <v>1</v>
      </c>
      <c r="H100" s="4">
        <v>15.18</v>
      </c>
      <c r="I100" s="4">
        <v>15.18</v>
      </c>
      <c r="J100" s="4">
        <v>12.85</v>
      </c>
      <c r="K100" s="2" t="str">
        <f t="shared" si="6"/>
        <v>Nov 2024</v>
      </c>
      <c r="L100" s="4">
        <f t="shared" si="7"/>
        <v>2.33</v>
      </c>
      <c r="M100" s="2" t="str">
        <f t="shared" si="8"/>
        <v>Met</v>
      </c>
    </row>
    <row r="101" spans="1:13" x14ac:dyDescent="0.3">
      <c r="A101" s="5" t="s">
        <v>135</v>
      </c>
      <c r="B101" s="6">
        <v>45646</v>
      </c>
      <c r="C101" s="5" t="s">
        <v>24</v>
      </c>
      <c r="D101" s="5" t="s">
        <v>42</v>
      </c>
      <c r="E101" s="5" t="s">
        <v>47</v>
      </c>
      <c r="F101" s="5" t="s">
        <v>48</v>
      </c>
      <c r="G101" s="5">
        <v>19</v>
      </c>
      <c r="H101" s="7">
        <v>439.45</v>
      </c>
      <c r="I101" s="7">
        <v>8349.5499999999993</v>
      </c>
      <c r="J101" s="7">
        <v>8220.2199999999993</v>
      </c>
      <c r="K101" s="5" t="str">
        <f t="shared" si="6"/>
        <v>Dec 2024</v>
      </c>
      <c r="L101" s="7">
        <f t="shared" si="7"/>
        <v>129.32999999999993</v>
      </c>
      <c r="M101" s="5" t="str">
        <f t="shared" si="8"/>
        <v>Met</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workbookViewId="0"/>
  </sheetViews>
  <sheetFormatPr defaultRowHeight="14.4" x14ac:dyDescent="0.3"/>
  <cols>
    <col min="1" max="1" width="20" customWidth="1"/>
    <col min="3" max="3" width="20" customWidth="1"/>
    <col min="5" max="5" width="20" customWidth="1"/>
    <col min="7" max="7" width="20" customWidth="1"/>
  </cols>
  <sheetData>
    <row r="1" spans="1:7" x14ac:dyDescent="0.3">
      <c r="A1" s="8" t="s">
        <v>136</v>
      </c>
      <c r="C1" s="8" t="s">
        <v>137</v>
      </c>
      <c r="E1" s="8" t="s">
        <v>138</v>
      </c>
      <c r="G1" s="8" t="s">
        <v>139</v>
      </c>
    </row>
    <row r="2" spans="1:7" x14ac:dyDescent="0.3">
      <c r="A2" s="9" t="s">
        <v>19</v>
      </c>
      <c r="C2" s="9" t="s">
        <v>15</v>
      </c>
      <c r="E2" s="9" t="s">
        <v>17</v>
      </c>
      <c r="G2" s="9" t="s">
        <v>43</v>
      </c>
    </row>
    <row r="3" spans="1:7" x14ac:dyDescent="0.3">
      <c r="A3" s="10" t="s">
        <v>14</v>
      </c>
      <c r="C3" s="10" t="s">
        <v>20</v>
      </c>
      <c r="E3" s="10" t="s">
        <v>48</v>
      </c>
      <c r="G3" s="10" t="s">
        <v>16</v>
      </c>
    </row>
    <row r="4" spans="1:7" x14ac:dyDescent="0.3">
      <c r="A4" s="9" t="s">
        <v>35</v>
      </c>
      <c r="C4" s="9" t="s">
        <v>42</v>
      </c>
      <c r="E4" s="9" t="s">
        <v>31</v>
      </c>
      <c r="G4" s="9" t="s">
        <v>50</v>
      </c>
    </row>
    <row r="5" spans="1:7" x14ac:dyDescent="0.3">
      <c r="A5" s="10" t="s">
        <v>29</v>
      </c>
      <c r="C5" s="10" t="s">
        <v>25</v>
      </c>
      <c r="E5" s="10" t="s">
        <v>22</v>
      </c>
      <c r="G5" s="10" t="s">
        <v>47</v>
      </c>
    </row>
    <row r="6" spans="1:7" x14ac:dyDescent="0.3">
      <c r="A6" s="9" t="s">
        <v>24</v>
      </c>
      <c r="G6" s="9" t="s">
        <v>30</v>
      </c>
    </row>
    <row r="7" spans="1:7" x14ac:dyDescent="0.3">
      <c r="G7" s="10" t="s">
        <v>33</v>
      </c>
    </row>
    <row r="8" spans="1:7" x14ac:dyDescent="0.3">
      <c r="G8" s="9" t="s">
        <v>38</v>
      </c>
    </row>
    <row r="9" spans="1:7" x14ac:dyDescent="0.3">
      <c r="G9" s="10" t="s">
        <v>27</v>
      </c>
    </row>
    <row r="10" spans="1:7" x14ac:dyDescent="0.3">
      <c r="G10" s="9" t="s">
        <v>21</v>
      </c>
    </row>
    <row r="11" spans="1:7" x14ac:dyDescent="0.3">
      <c r="G11" s="10" t="s">
        <v>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3"/>
  <sheetViews>
    <sheetView topLeftCell="A8" workbookViewId="0">
      <selection activeCell="B22" sqref="B22"/>
    </sheetView>
  </sheetViews>
  <sheetFormatPr defaultRowHeight="14.4" x14ac:dyDescent="0.3"/>
  <cols>
    <col min="1" max="1" width="12.5546875" bestFit="1" customWidth="1"/>
    <col min="2" max="2" width="17.88671875" bestFit="1" customWidth="1"/>
    <col min="3" max="4" width="12.77734375" bestFit="1" customWidth="1"/>
    <col min="5" max="5" width="10.44140625" customWidth="1"/>
  </cols>
  <sheetData>
    <row r="1" spans="1:5" ht="17.399999999999999" x14ac:dyDescent="0.3">
      <c r="A1" s="11" t="s">
        <v>140</v>
      </c>
    </row>
    <row r="2" spans="1:5" x14ac:dyDescent="0.3">
      <c r="A2" s="19" t="s">
        <v>150</v>
      </c>
      <c r="B2" t="s">
        <v>149</v>
      </c>
      <c r="C2" t="s">
        <v>152</v>
      </c>
    </row>
    <row r="3" spans="1:5" x14ac:dyDescent="0.3">
      <c r="A3" s="20" t="s">
        <v>42</v>
      </c>
      <c r="B3" s="18">
        <v>60808.759999999995</v>
      </c>
      <c r="C3" s="18">
        <v>67255.299999999988</v>
      </c>
    </row>
    <row r="4" spans="1:5" x14ac:dyDescent="0.3">
      <c r="A4" s="20" t="s">
        <v>15</v>
      </c>
      <c r="B4" s="18">
        <v>44717.640000000007</v>
      </c>
      <c r="C4" s="18">
        <v>46095.75</v>
      </c>
    </row>
    <row r="5" spans="1:5" x14ac:dyDescent="0.3">
      <c r="A5" s="20" t="s">
        <v>20</v>
      </c>
      <c r="B5" s="18">
        <v>70150.76999999999</v>
      </c>
      <c r="C5" s="18">
        <v>79631.959999999977</v>
      </c>
    </row>
    <row r="6" spans="1:5" x14ac:dyDescent="0.3">
      <c r="A6" s="20" t="s">
        <v>25</v>
      </c>
      <c r="B6" s="18">
        <v>31129.53</v>
      </c>
      <c r="C6" s="18">
        <v>32912.26</v>
      </c>
    </row>
    <row r="7" spans="1:5" x14ac:dyDescent="0.3">
      <c r="A7" s="20" t="s">
        <v>151</v>
      </c>
      <c r="B7" s="18">
        <v>206806.69999999998</v>
      </c>
      <c r="C7" s="18">
        <v>225895.26999999996</v>
      </c>
    </row>
    <row r="10" spans="1:5" x14ac:dyDescent="0.3">
      <c r="A10" s="19" t="s">
        <v>150</v>
      </c>
      <c r="B10" s="21" t="s">
        <v>149</v>
      </c>
      <c r="C10" t="s">
        <v>152</v>
      </c>
      <c r="E10" t="s">
        <v>11</v>
      </c>
    </row>
    <row r="11" spans="1:5" x14ac:dyDescent="0.3">
      <c r="A11" s="20" t="s">
        <v>14</v>
      </c>
      <c r="B11" s="18">
        <v>50949.250000000007</v>
      </c>
      <c r="C11" s="18">
        <v>55120.759999999995</v>
      </c>
      <c r="E11" s="22">
        <f>D11-C11</f>
        <v>-55120.759999999995</v>
      </c>
    </row>
    <row r="12" spans="1:5" x14ac:dyDescent="0.3">
      <c r="A12" s="20" t="s">
        <v>29</v>
      </c>
      <c r="B12" s="18">
        <v>48846.130000000005</v>
      </c>
      <c r="C12" s="18">
        <v>54676.880000000005</v>
      </c>
      <c r="E12" s="22">
        <f>D12-C12</f>
        <v>-54676.880000000005</v>
      </c>
    </row>
    <row r="13" spans="1:5" x14ac:dyDescent="0.3">
      <c r="A13" s="20" t="s">
        <v>24</v>
      </c>
      <c r="B13" s="18">
        <v>39014.459999999992</v>
      </c>
      <c r="C13" s="18">
        <v>38078.799999999996</v>
      </c>
      <c r="E13" s="22">
        <f>D13-C13</f>
        <v>-38078.799999999996</v>
      </c>
    </row>
    <row r="14" spans="1:5" x14ac:dyDescent="0.3">
      <c r="A14" s="20" t="s">
        <v>35</v>
      </c>
      <c r="B14" s="18">
        <v>37309.250000000007</v>
      </c>
      <c r="C14" s="18">
        <v>43009.7</v>
      </c>
      <c r="E14" s="22">
        <f>D14-C14</f>
        <v>-43009.7</v>
      </c>
    </row>
    <row r="15" spans="1:5" x14ac:dyDescent="0.3">
      <c r="A15" s="20" t="s">
        <v>19</v>
      </c>
      <c r="B15" s="18">
        <v>30687.609999999993</v>
      </c>
      <c r="C15" s="18">
        <v>35009.130000000005</v>
      </c>
      <c r="E15" s="22">
        <f>D15-C15</f>
        <v>-35009.130000000005</v>
      </c>
    </row>
    <row r="16" spans="1:5" x14ac:dyDescent="0.3">
      <c r="A16" s="20" t="s">
        <v>151</v>
      </c>
      <c r="B16" s="18">
        <v>206806.7</v>
      </c>
      <c r="C16" s="18">
        <v>225895.27</v>
      </c>
      <c r="E16" s="22">
        <f>D16-C16</f>
        <v>-225895.27</v>
      </c>
    </row>
    <row r="20" spans="1:3" x14ac:dyDescent="0.3">
      <c r="A20" s="19" t="s">
        <v>150</v>
      </c>
      <c r="B20" t="s">
        <v>149</v>
      </c>
      <c r="C20" t="s">
        <v>152</v>
      </c>
    </row>
    <row r="21" spans="1:3" x14ac:dyDescent="0.3">
      <c r="A21" s="20" t="s">
        <v>153</v>
      </c>
      <c r="B21" s="18">
        <v>23867.989999999998</v>
      </c>
      <c r="C21" s="18">
        <v>22786.93</v>
      </c>
    </row>
    <row r="22" spans="1:3" x14ac:dyDescent="0.3">
      <c r="A22" s="20" t="s">
        <v>154</v>
      </c>
      <c r="B22" s="18">
        <v>15833.38</v>
      </c>
      <c r="C22" s="18">
        <v>17756.52</v>
      </c>
    </row>
    <row r="23" spans="1:3" x14ac:dyDescent="0.3">
      <c r="A23" s="20" t="s">
        <v>155</v>
      </c>
      <c r="B23" s="18">
        <v>24652.959999999999</v>
      </c>
      <c r="C23" s="18">
        <v>27500.739999999998</v>
      </c>
    </row>
    <row r="24" spans="1:3" x14ac:dyDescent="0.3">
      <c r="A24" s="20" t="s">
        <v>156</v>
      </c>
      <c r="B24" s="18">
        <v>16721.599999999999</v>
      </c>
      <c r="C24" s="18">
        <v>17632.009999999998</v>
      </c>
    </row>
    <row r="25" spans="1:3" x14ac:dyDescent="0.3">
      <c r="A25" s="20" t="s">
        <v>157</v>
      </c>
      <c r="B25" s="18">
        <v>6470.95</v>
      </c>
      <c r="C25" s="18">
        <v>7201.8900000000012</v>
      </c>
    </row>
    <row r="26" spans="1:3" x14ac:dyDescent="0.3">
      <c r="A26" s="20" t="s">
        <v>158</v>
      </c>
      <c r="B26" s="18">
        <v>32656.930000000004</v>
      </c>
      <c r="C26" s="18">
        <v>36862.03</v>
      </c>
    </row>
    <row r="27" spans="1:3" x14ac:dyDescent="0.3">
      <c r="A27" s="20" t="s">
        <v>159</v>
      </c>
      <c r="B27" s="18">
        <v>18423.689999999999</v>
      </c>
      <c r="C27" s="18">
        <v>19648.769999999997</v>
      </c>
    </row>
    <row r="28" spans="1:3" x14ac:dyDescent="0.3">
      <c r="A28" s="20" t="s">
        <v>160</v>
      </c>
      <c r="B28" s="18">
        <v>4291.67</v>
      </c>
      <c r="C28" s="18">
        <v>4903.26</v>
      </c>
    </row>
    <row r="29" spans="1:3" x14ac:dyDescent="0.3">
      <c r="A29" s="20" t="s">
        <v>161</v>
      </c>
      <c r="B29" s="18">
        <v>11726.94</v>
      </c>
      <c r="C29" s="18">
        <v>11610.980000000001</v>
      </c>
    </row>
    <row r="30" spans="1:3" x14ac:dyDescent="0.3">
      <c r="A30" s="20" t="s">
        <v>162</v>
      </c>
      <c r="B30" s="18">
        <v>8042.74</v>
      </c>
      <c r="C30" s="18">
        <v>8255.7500000000018</v>
      </c>
    </row>
    <row r="31" spans="1:3" x14ac:dyDescent="0.3">
      <c r="A31" s="20" t="s">
        <v>163</v>
      </c>
      <c r="B31" s="18">
        <v>18776.650000000001</v>
      </c>
      <c r="C31" s="18">
        <v>21401.67</v>
      </c>
    </row>
    <row r="32" spans="1:3" x14ac:dyDescent="0.3">
      <c r="A32" s="20" t="s">
        <v>164</v>
      </c>
      <c r="B32" s="18">
        <v>25341.200000000001</v>
      </c>
      <c r="C32" s="18">
        <v>30334.720000000001</v>
      </c>
    </row>
    <row r="33" spans="1:3" x14ac:dyDescent="0.3">
      <c r="A33" s="20" t="s">
        <v>151</v>
      </c>
      <c r="B33" s="18">
        <v>206806.7</v>
      </c>
      <c r="C33" s="18">
        <v>225895.27</v>
      </c>
    </row>
  </sheetData>
  <conditionalFormatting sqref="E10">
    <cfRule type="colorScale" priority="2">
      <colorScale>
        <cfvo type="min"/>
        <cfvo type="percentile" val="50"/>
        <cfvo type="max"/>
        <color rgb="FF63BE7B"/>
        <color rgb="FFFCFCFF"/>
        <color rgb="FFF8696B"/>
      </colorScale>
    </cfRule>
  </conditionalFormatting>
  <conditionalFormatting sqref="E10:E17">
    <cfRule type="colorScale" priority="1">
      <colorScale>
        <cfvo type="min"/>
        <cfvo type="percentile" val="50"/>
        <cfvo type="max"/>
        <color rgb="FFF8696B"/>
        <color rgb="FFFCFCFF"/>
        <color rgb="FF63BE7B"/>
      </colorScale>
    </cfRule>
  </conditionalFormatting>
  <pageMargins left="0.75" right="0.75" top="1" bottom="1" header="0.5" footer="0.5"/>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showGridLines="0" showRowColHeaders="0" tabSelected="1" zoomScale="102" zoomScaleNormal="102" workbookViewId="0">
      <selection activeCell="S8" sqref="S8"/>
    </sheetView>
  </sheetViews>
  <sheetFormatPr defaultRowHeight="14.4" x14ac:dyDescent="0.3"/>
  <cols>
    <col min="1" max="1" width="25" customWidth="1"/>
    <col min="2" max="2" width="20" customWidth="1"/>
  </cols>
  <sheetData>
    <row r="1" spans="1:2" ht="21" x14ac:dyDescent="0.4">
      <c r="A1" s="12" t="s">
        <v>141</v>
      </c>
    </row>
    <row r="2" spans="1:2" x14ac:dyDescent="0.3">
      <c r="A2" t="s">
        <v>165</v>
      </c>
    </row>
    <row r="3" spans="1:2" x14ac:dyDescent="0.3">
      <c r="A3" s="13" t="s">
        <v>142</v>
      </c>
      <c r="B3" s="14">
        <f>SUM('Raw Data'!I2:I101)</f>
        <v>206806.69999999995</v>
      </c>
    </row>
    <row r="5" spans="1:2" x14ac:dyDescent="0.3">
      <c r="A5" s="13" t="s">
        <v>143</v>
      </c>
      <c r="B5" s="15">
        <f>SUM('Raw Data'!G2:G101)</f>
        <v>1042</v>
      </c>
    </row>
    <row r="7" spans="1:2" x14ac:dyDescent="0.3">
      <c r="A7" s="13" t="s">
        <v>144</v>
      </c>
      <c r="B7" s="14">
        <f>SUM('Raw Data'!J2:J101)</f>
        <v>225895.26999999996</v>
      </c>
    </row>
    <row r="9" spans="1:2" x14ac:dyDescent="0.3">
      <c r="A9" s="13" t="s">
        <v>145</v>
      </c>
      <c r="B9" s="16">
        <f>SUM('Raw Data'!I2:I101)/SUM('Raw Data'!J2:J101)</f>
        <v>0.91549814212577352</v>
      </c>
    </row>
    <row r="11" spans="1:2" x14ac:dyDescent="0.3">
      <c r="A11" s="13" t="s">
        <v>146</v>
      </c>
      <c r="B11" s="15">
        <f>COUNTIF('Raw Data'!M2:M101,"Met")</f>
        <v>39</v>
      </c>
    </row>
    <row r="13" spans="1:2" x14ac:dyDescent="0.3">
      <c r="A13" s="13" t="s">
        <v>147</v>
      </c>
      <c r="B13" s="15">
        <f>COUNTIF('Raw Data'!M2:M101,"Missed")</f>
        <v>61</v>
      </c>
    </row>
    <row r="16" spans="1:2" x14ac:dyDescent="0.3">
      <c r="A16" s="17" t="s">
        <v>148</v>
      </c>
    </row>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Lookup Tables</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Purti Ladani</cp:lastModifiedBy>
  <dcterms:created xsi:type="dcterms:W3CDTF">2026-04-28T14:45:53Z</dcterms:created>
  <dcterms:modified xsi:type="dcterms:W3CDTF">2026-04-30T15:42:18Z</dcterms:modified>
</cp:coreProperties>
</file>